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2" activeTab="2" autoFilterDateGrouping="1"/>
  </bookViews>
  <sheets>
    <sheet name="总览" sheetId="1" state="hidden" r:id="rId1"/>
    <sheet name="系统设置" sheetId="2" state="hidden" r:id="rId2"/>
    <sheet name="宝可梦" sheetId="3" state="visible" r:id="rId3"/>
    <sheet name="海贼王" sheetId="4" state="visible" r:id="rId4"/>
    <sheet name="火影" sheetId="5" state="visible" r:id="rId5"/>
    <sheet name="全量库存" sheetId="6" state="visible" r:id="rId6"/>
    <sheet name="售罄与未上架" sheetId="7" state="hidden" r:id="rId7"/>
    <sheet name="图片库" sheetId="8" state="hidden" r:id="rId8"/>
    <sheet name="出入库记录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7">
    <font>
      <name val="宋体"/>
      <charset val="134"/>
      <color theme="1"/>
      <sz val="11"/>
      <scheme val="minor"/>
    </font>
    <font>
      <name val="Microsoft YaHei"/>
      <family val="2"/>
      <b val="1"/>
      <color rgb="FFFFFFFF"/>
      <sz val="10"/>
    </font>
    <font>
      <name val="Microsoft YaHei"/>
      <family val="2"/>
      <color rgb="FF334155"/>
      <sz val="10"/>
    </font>
    <font>
      <name val="Microsoft YaHei"/>
      <family val="2"/>
      <b val="1"/>
      <color rgb="FF111827"/>
      <sz val="16"/>
    </font>
    <font>
      <name val="Microsoft YaHei"/>
      <family val="2"/>
      <b val="1"/>
      <color rgb="FF111827"/>
      <sz val="10"/>
    </font>
    <font>
      <name val="Microsoft YaHei"/>
      <family val="2"/>
      <b val="1"/>
      <color rgb="FF111827"/>
      <sz val="12"/>
    </font>
    <font>
      <name val="Microsoft YaHei"/>
      <family val="2"/>
      <b val="1"/>
      <color rgb="FF111827"/>
      <sz val="14"/>
    </font>
    <font>
      <name val="Microsoft YaHei"/>
      <family val="2"/>
      <b val="1"/>
      <color rgb="FF111827"/>
      <sz val="11"/>
    </font>
    <font>
      <name val="Microsoft YaHei"/>
      <family val="2"/>
      <color rgb="FF64748B"/>
      <sz val="9"/>
    </font>
    <font>
      <name val="宋体"/>
      <sz val="9"/>
      <scheme val="minor"/>
    </font>
    <font>
      <name val="宋体"/>
      <b val="1"/>
      <color rgb="FFFFFFFF"/>
      <sz val="11"/>
    </font>
    <font>
      <name val="宋体"/>
      <color rgb="FF808080"/>
      <sz val="9"/>
    </font>
    <font>
      <name val="宋体"/>
      <b val="1"/>
      <color rgb="FF1F2937"/>
      <sz val="13"/>
    </font>
    <font>
      <name val="宋体"/>
      <b val="1"/>
      <sz val="11"/>
    </font>
    <font>
      <name val="宋体"/>
      <b val="1"/>
      <color rgb="FFFFFFFF"/>
      <sz val="11"/>
    </font>
    <font>
      <name val="宋体"/>
      <b val="1"/>
      <sz val="11"/>
    </font>
    <font>
      <name val="Microsoft YaHei"/>
      <sz val="10"/>
    </font>
    <font>
      <name val="Microsoft YaHei"/>
      <b val="1"/>
      <color rgb="FFFFFFFF"/>
      <sz val="14"/>
    </font>
    <font>
      <name val="Microsoft YaHei"/>
      <color rgb="FF64748B"/>
      <sz val="10"/>
    </font>
    <font>
      <name val="Microsoft YaHei"/>
      <b val="1"/>
      <color rgb="FFFFFFFF"/>
      <sz val="10"/>
    </font>
    <font>
      <name val="宋体"/>
      <sz val="11"/>
    </font>
    <font>
      <name val="Microsoft YaHei"/>
      <color rgb="FF64748B"/>
      <sz val="9"/>
    </font>
    <font>
      <name val="Microsoft YaHei"/>
      <b val="1"/>
      <color rgb="FFFFFFFF"/>
      <sz val="13"/>
    </font>
    <font>
      <name val="Microsoft YaHei"/>
      <b val="1"/>
      <color rgb="FF92400E"/>
      <sz val="9"/>
    </font>
    <font>
      <name val="Microsoft YaHei"/>
      <b val="1"/>
      <color rgb="FFFFFFFF"/>
      <sz val="9"/>
    </font>
    <font>
      <name val="Microsoft YaHei"/>
      <b val="1"/>
      <color rgb="FFFFFFFF"/>
      <sz val="10"/>
    </font>
    <font>
      <name val="Microsoft YaHei"/>
      <color rgb="FF0F172A"/>
      <sz val="10"/>
    </font>
    <font>
      <name val="Microsoft YaHei"/>
      <color rgb="FF475569"/>
      <sz val="9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color rgb="FF475569"/>
      <sz val="9"/>
    </font>
    <font/>
    <font>
      <name val="Microsoft YaHei"/>
      <b val="1"/>
      <color rgb="00FFFFFF"/>
      <sz val="13"/>
    </font>
    <font>
      <name val="Microsoft YaHei"/>
      <b val="1"/>
      <color rgb="0092400E"/>
      <sz val="9"/>
    </font>
    <font>
      <name val="Microsoft YaHei"/>
      <b val="1"/>
      <color rgb="00FFFFFF"/>
      <sz val="9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color rgb="00475569"/>
      <sz val="9"/>
    </font>
  </fonts>
  <fills count="35">
    <fill>
      <patternFill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F5496"/>
      </patternFill>
    </fill>
    <fill>
      <patternFill patternType="solid">
        <fgColor rgb="FFFFF9DB"/>
      </patternFill>
    </fill>
    <fill>
      <patternFill patternType="solid">
        <fgColor rgb="FF172033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7C2D12"/>
      </patternFill>
    </fill>
    <fill>
      <patternFill patternType="solid">
        <fgColor rgb="FF14532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1E3A5F"/>
      </patternFill>
    </fill>
    <fill>
      <patternFill patternType="solid">
        <fgColor rgb="FFFF0000"/>
        <bgColor indexed="64"/>
      </patternFill>
    </fill>
    <fill>
      <patternFill patternType="solid">
        <fgColor rgb="FFFFEA25"/>
        <bgColor indexed="64"/>
      </patternFill>
    </fill>
    <fill>
      <patternFill patternType="solid">
        <fgColor rgb="FFFEF3C7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FEDD5"/>
      </patternFill>
    </fill>
    <fill>
      <patternFill patternType="solid">
        <fgColor theme="3"/>
        <bgColor indexed="64"/>
      </patternFill>
    </fill>
    <fill>
      <patternFill patternType="solid">
        <fgColor rgb="00FEF3C7"/>
      </patternFill>
    </fill>
    <fill>
      <patternFill patternType="solid">
        <fgColor rgb="001E3A5F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FEDD5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4"/>
  </cellStyleXfs>
  <cellXfs count="91">
    <xf numFmtId="0" fontId="0" fillId="0" borderId="0" pivotButton="0" quotePrefix="0" xfId="0"/>
    <xf numFmtId="0" fontId="4" fillId="3" borderId="0" pivotButton="0" quotePrefix="0" xfId="0"/>
    <xf numFmtId="2" fontId="5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5" fillId="3" borderId="0" pivotButton="0" quotePrefix="0" xfId="0"/>
    <xf numFmtId="3" fontId="6" fillId="3" borderId="0" pivotButton="0" quotePrefix="0" xfId="0"/>
    <xf numFmtId="1" fontId="6" fillId="3" borderId="0" pivotButton="0" quotePrefix="0" xfId="0"/>
    <xf numFmtId="164" fontId="6" fillId="3" borderId="0" pivotButton="0" quotePrefix="0" xfId="0"/>
    <xf numFmtId="0" fontId="7" fillId="3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0" fontId="8" fillId="3" borderId="0" pivotButton="0" quotePrefix="0" xfId="0"/>
    <xf numFmtId="0" fontId="11" fillId="0" borderId="0" pivotButton="0" quotePrefix="0" xfId="0"/>
    <xf numFmtId="0" fontId="11" fillId="3" borderId="0" applyAlignment="1" pivotButton="0" quotePrefix="0" xfId="0">
      <alignment vertical="top" wrapText="1"/>
    </xf>
    <xf numFmtId="0" fontId="13" fillId="3" borderId="0" pivotButton="0" quotePrefix="0" xfId="0"/>
    <xf numFmtId="0" fontId="12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13" fillId="0" borderId="0" pivotButton="0" quotePrefix="0" xfId="0"/>
    <xf numFmtId="0" fontId="13" fillId="5" borderId="0" pivotButton="0" quotePrefix="0" xfId="0"/>
    <xf numFmtId="9" fontId="13" fillId="5" borderId="0" pivotButton="0" quotePrefix="0" xfId="0"/>
    <xf numFmtId="0" fontId="14" fillId="6" borderId="0" applyAlignment="1" pivotButton="0" quotePrefix="0" xfId="0">
      <alignment horizontal="center" vertical="center"/>
    </xf>
    <xf numFmtId="0" fontId="15" fillId="3" borderId="0" pivotButton="0" quotePrefix="0" xfId="0"/>
    <xf numFmtId="0" fontId="19" fillId="9" borderId="2" pivotButton="0" quotePrefix="0" xfId="0"/>
    <xf numFmtId="0" fontId="16" fillId="0" borderId="2" pivotButton="0" quotePrefix="0" xfId="0"/>
    <xf numFmtId="0" fontId="0" fillId="0" borderId="3" pivotButton="0" quotePrefix="0" xfId="0"/>
    <xf numFmtId="0" fontId="20" fillId="0" borderId="4" pivotButton="0" quotePrefix="0" xfId="0"/>
    <xf numFmtId="0" fontId="21" fillId="0" borderId="3" pivotButton="0" quotePrefix="0" xfId="0"/>
    <xf numFmtId="0" fontId="0" fillId="0" borderId="4" pivotButton="0" quotePrefix="0" xfId="0"/>
    <xf numFmtId="0" fontId="0" fillId="16" borderId="0" pivotButton="0" quotePrefix="0" xfId="0"/>
    <xf numFmtId="0" fontId="23" fillId="18" borderId="3" applyAlignment="1" pivotButton="0" quotePrefix="0" xfId="0">
      <alignment vertical="center" wrapText="1"/>
    </xf>
    <xf numFmtId="0" fontId="24" fillId="9" borderId="5" applyAlignment="1" pivotButton="0" quotePrefix="0" xfId="0">
      <alignment horizontal="center" vertical="center" wrapText="1"/>
    </xf>
    <xf numFmtId="0" fontId="24" fillId="17" borderId="5" applyAlignment="1" pivotButton="0" quotePrefix="0" xfId="0">
      <alignment horizontal="center" vertical="center" wrapText="1"/>
    </xf>
    <xf numFmtId="0" fontId="24" fillId="13" borderId="5" applyAlignment="1" pivotButton="0" quotePrefix="0" xfId="0">
      <alignment horizontal="center" vertical="center" wrapText="1"/>
    </xf>
    <xf numFmtId="0" fontId="24" fillId="15" borderId="5" applyAlignment="1" pivotButton="0" quotePrefix="0" xfId="0">
      <alignment horizontal="center" vertical="center" wrapText="1"/>
    </xf>
    <xf numFmtId="0" fontId="25" fillId="19" borderId="5" applyAlignment="1" pivotButton="0" quotePrefix="0" xfId="0">
      <alignment horizontal="left" vertical="center"/>
    </xf>
    <xf numFmtId="0" fontId="25" fillId="21" borderId="5" applyAlignment="1" pivotButton="0" quotePrefix="0" xfId="0">
      <alignment horizontal="left" vertical="center" indent="1"/>
    </xf>
    <xf numFmtId="0" fontId="26" fillId="22" borderId="5" applyAlignment="1" pivotButton="0" quotePrefix="0" xfId="0">
      <alignment horizontal="left" vertical="center"/>
    </xf>
    <xf numFmtId="0" fontId="26" fillId="22" borderId="5" applyAlignment="1" pivotButton="0" quotePrefix="0" xfId="0">
      <alignment horizontal="center" vertical="center"/>
    </xf>
    <xf numFmtId="0" fontId="27" fillId="23" borderId="5" applyAlignment="1" pivotButton="0" quotePrefix="0" xfId="0">
      <alignment horizontal="left" vertical="center" indent="1"/>
    </xf>
    <xf numFmtId="0" fontId="27" fillId="23" borderId="5" applyAlignment="1" pivotButton="0" quotePrefix="0" xfId="0">
      <alignment horizontal="left" vertical="center"/>
    </xf>
    <xf numFmtId="0" fontId="27" fillId="23" borderId="5" applyAlignment="1" pivotButton="0" quotePrefix="0" xfId="0">
      <alignment horizontal="center" vertical="center"/>
    </xf>
    <xf numFmtId="0" fontId="27" fillId="24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left" vertical="center"/>
    </xf>
    <xf numFmtId="0" fontId="26" fillId="20" borderId="5" applyAlignment="1" pivotButton="0" quotePrefix="0" xfId="0">
      <alignment horizontal="center" vertical="center"/>
    </xf>
    <xf numFmtId="0" fontId="26" fillId="25" borderId="5" applyAlignment="1" pivotButton="0" quotePrefix="0" xfId="0">
      <alignment horizontal="center" vertical="center"/>
    </xf>
    <xf numFmtId="0" fontId="23" fillId="18" borderId="4" applyAlignment="1" pivotButton="0" quotePrefix="0" xfId="0">
      <alignment vertical="center" wrapText="1"/>
    </xf>
    <xf numFmtId="0" fontId="26" fillId="0" borderId="3" pivotButton="0" quotePrefix="0" xfId="0"/>
    <xf numFmtId="0" fontId="24" fillId="14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4" fillId="10" borderId="5" applyAlignment="1" pivotButton="0" quotePrefix="0" xfId="0">
      <alignment horizontal="center" vertical="center" wrapText="1"/>
    </xf>
    <xf numFmtId="0" fontId="24" fillId="12" borderId="5" applyAlignment="1" pivotButton="0" quotePrefix="0" xfId="0">
      <alignment horizontal="center" vertical="center" wrapText="1"/>
    </xf>
    <xf numFmtId="0" fontId="25" fillId="21" borderId="5" applyAlignment="1" pivotButton="0" quotePrefix="0" xfId="0">
      <alignment horizontal="left" vertical="center" indent="1"/>
    </xf>
    <xf numFmtId="0" fontId="22" fillId="7" borderId="4" applyAlignment="1" pivotButton="0" quotePrefix="0" xfId="0">
      <alignment vertical="center"/>
    </xf>
    <xf numFmtId="0" fontId="0" fillId="0" borderId="0" pivotButton="0" quotePrefix="0" xfId="0"/>
    <xf numFmtId="0" fontId="25" fillId="19" borderId="5" applyAlignment="1" pivotButton="0" quotePrefix="0" xfId="0">
      <alignment horizontal="left" vertical="center"/>
    </xf>
    <xf numFmtId="0" fontId="3" fillId="3" borderId="4" pivotButton="0" quotePrefix="0" xfId="0"/>
    <xf numFmtId="0" fontId="22" fillId="7" borderId="4" applyAlignment="1" pivotButton="0" quotePrefix="0" xfId="0">
      <alignment horizontal="left" vertical="center"/>
    </xf>
    <xf numFmtId="0" fontId="18" fillId="8" borderId="4" pivotButton="0" quotePrefix="0" xfId="0"/>
    <xf numFmtId="0" fontId="17" fillId="7" borderId="4" pivotButton="0" quotePrefix="0" xfId="0"/>
    <xf numFmtId="0" fontId="25" fillId="26" borderId="5" applyAlignment="1" pivotButton="0" quotePrefix="0" xfId="0">
      <alignment horizontal="left" vertical="center" indent="1"/>
    </xf>
    <xf numFmtId="0" fontId="28" fillId="19" borderId="5" applyAlignment="1" pivotButton="0" quotePrefix="0" xfId="0">
      <alignment horizontal="left" vertical="center"/>
    </xf>
    <xf numFmtId="0" fontId="29" fillId="23" borderId="5" applyAlignment="1" pivotButton="0" quotePrefix="0" xfId="0">
      <alignment horizontal="left" vertical="center" indent="1"/>
    </xf>
    <xf numFmtId="0" fontId="28" fillId="21" borderId="5" applyAlignment="1" pivotButton="0" quotePrefix="0" xfId="0">
      <alignment horizontal="left" vertical="center" indent="1"/>
    </xf>
    <xf numFmtId="0" fontId="0" fillId="0" borderId="4" pivotButton="0" quotePrefix="0" xfId="0"/>
    <xf numFmtId="164" fontId="6" fillId="3" borderId="0" pivotButton="0" quotePrefix="0" xfId="0"/>
    <xf numFmtId="164" fontId="2" fillId="3" borderId="1" pivotButton="0" quotePrefix="0" xfId="0"/>
    <xf numFmtId="0" fontId="31" fillId="7" borderId="4" applyAlignment="1" pivotButton="0" quotePrefix="0" xfId="0">
      <alignment vertical="center"/>
    </xf>
    <xf numFmtId="0" fontId="32" fillId="27" borderId="3" applyAlignment="1" pivotButton="0" quotePrefix="0" xfId="0">
      <alignment vertical="center" wrapText="1"/>
    </xf>
    <xf numFmtId="0" fontId="33" fillId="28" borderId="11" applyAlignment="1" pivotButton="0" quotePrefix="0" xfId="0">
      <alignment horizontal="center" vertical="center"/>
    </xf>
    <xf numFmtId="0" fontId="34" fillId="28" borderId="11" applyAlignment="1" pivotButton="0" quotePrefix="0" xfId="0">
      <alignment horizontal="left" vertical="center"/>
    </xf>
    <xf numFmtId="0" fontId="34" fillId="29" borderId="11" applyAlignment="1" pivotButton="0" quotePrefix="0" xfId="0">
      <alignment horizontal="left" vertical="center" indent="1"/>
    </xf>
    <xf numFmtId="0" fontId="35" fillId="30" borderId="11" applyAlignment="1" pivotButton="0" quotePrefix="0" xfId="0">
      <alignment horizontal="left" vertical="center"/>
    </xf>
    <xf numFmtId="0" fontId="35" fillId="30" borderId="11" applyAlignment="1" pivotButton="0" quotePrefix="0" xfId="0">
      <alignment horizontal="center" vertical="center"/>
    </xf>
    <xf numFmtId="0" fontId="35" fillId="31" borderId="11" applyAlignment="1" pivotButton="0" quotePrefix="0" xfId="0">
      <alignment horizontal="center" vertical="center"/>
    </xf>
    <xf numFmtId="0" fontId="36" fillId="32" borderId="11" applyAlignment="1" pivotButton="0" quotePrefix="0" xfId="0">
      <alignment horizontal="left" vertical="center"/>
    </xf>
    <xf numFmtId="0" fontId="36" fillId="32" borderId="11" applyAlignment="1" pivotButton="0" quotePrefix="0" xfId="0">
      <alignment horizontal="center" vertical="center"/>
    </xf>
    <xf numFmtId="0" fontId="36" fillId="33" borderId="11" applyAlignment="1" pivotButton="0" quotePrefix="0" xfId="0">
      <alignment horizontal="center" vertical="center"/>
    </xf>
    <xf numFmtId="0" fontId="35" fillId="34" borderId="11" applyAlignment="1" pivotButton="0" quotePrefix="0" xfId="0">
      <alignment horizontal="left" vertical="center"/>
    </xf>
    <xf numFmtId="0" fontId="35" fillId="34" borderId="11" applyAlignment="1" pivotButton="0" quotePrefix="0" xfId="0">
      <alignment horizontal="center" vertical="center"/>
    </xf>
    <xf numFmtId="0" fontId="30" fillId="0" borderId="10" applyAlignment="1" pivotButton="0" quotePrefix="0" xfId="0">
      <alignment horizontal="left" vertical="center" indent="1"/>
    </xf>
    <xf numFmtId="0" fontId="30" fillId="0" borderId="10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/>
    </xf>
    <xf numFmtId="0" fontId="31" fillId="7" borderId="4" applyAlignment="1" pivotButton="0" quotePrefix="0" xfId="0">
      <alignment horizontal="left" vertical="center"/>
    </xf>
    <xf numFmtId="0" fontId="32" fillId="27" borderId="4" applyAlignment="1" pivotButton="0" quotePrefix="0" xfId="0">
      <alignment vertical="center" wrapText="1"/>
    </xf>
    <xf numFmtId="0" fontId="35" fillId="0" borderId="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PIMART</author>
  </authors>
  <commentList>
    <comment ref="D5" authorId="0" shapeId="0">
      <text>
        <t>操作：看表格最左上角（行号1旁边上方）有数字 1 和 2。\n点「2」= 全部展开所有散包/原箱。\n点「1」= 全部收回。\n\n单条展开：点某一行「原盒」左侧的 + 号。</t>
      </text>
    </comment>
    <comment ref="E5" authorId="0" shapeId="0">
      <text>
        <t>点表格左上角数字「1」即可全部收回散包/原箱行。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B19" sqref="B19"/>
    </sheetView>
  </sheetViews>
  <sheetFormatPr baseColWidth="8" defaultColWidth="9" defaultRowHeight="14"/>
  <cols>
    <col width="22" customWidth="1" style="59" min="1" max="1"/>
    <col width="14" customWidth="1" style="59" min="2" max="3"/>
    <col width="12" customWidth="1" style="59" min="4" max="4"/>
    <col width="14" customWidth="1" style="59" min="5" max="5"/>
    <col width="18" customWidth="1" style="59" min="6" max="6"/>
  </cols>
  <sheetData>
    <row r="1" ht="22.5" customHeight="1" s="59">
      <c r="A1" s="61" t="inlineStr">
        <is>
          <t>PIMART 内部库存价格管理</t>
        </is>
      </c>
      <c r="I1" s="3" t="n"/>
      <c r="J1" s="3" t="n"/>
      <c r="K1" s="3" t="n"/>
    </row>
    <row r="2" ht="16.5" customHeight="1" s="59">
      <c r="A2" s="1" t="inlineStr">
        <is>
          <t>当前汇率（CNY→JPY）</t>
        </is>
      </c>
      <c r="B2" s="2">
        <f>系统设置!$C$5</f>
        <v/>
      </c>
      <c r="C2" s="3" t="n"/>
      <c r="D2" s="1" t="inlineStr">
        <is>
          <t>网站</t>
        </is>
      </c>
      <c r="E2" s="4" t="inlineStr">
        <is>
          <t>https://pimart-card-production.up.railway.app/?game=pokemon</t>
        </is>
      </c>
      <c r="F2" s="3" t="n"/>
      <c r="G2" s="3" t="n"/>
      <c r="H2" s="3" t="n"/>
      <c r="I2" s="3" t="n"/>
      <c r="J2" s="3" t="n"/>
      <c r="K2" s="3" t="n"/>
    </row>
    <row r="3" ht="14.5" customHeight="1" s="59">
      <c r="A3" s="1" t="inlineStr">
        <is>
          <t>更新日期</t>
        </is>
      </c>
      <c r="B3" s="4" t="inlineStr">
        <is>
          <t>2026-07-07 23:19</t>
        </is>
      </c>
      <c r="C3" s="3" t="n"/>
      <c r="D3" s="18" t="inlineStr">
        <is>
          <t>使用说明：日常在「宝可梦 / 海贼王 / 火影」分页改【库存】+【销售价(JPY)】；「全量库存」自动汇总。汇率和阈值改「系统设置」一次生效。</t>
        </is>
      </c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6.5" customHeight="1" s="59">
      <c r="A5" s="5" t="inlineStr">
        <is>
          <t>核心指标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20" customHeight="1" s="59">
      <c r="A6" s="1" t="inlineStr">
        <is>
          <t>库存总金额(JPY)</t>
        </is>
      </c>
      <c r="B6" s="6" t="n"/>
      <c r="C6" s="3" t="n"/>
      <c r="D6" s="19" t="inlineStr">
        <is>
          <t>P0 紧急调价</t>
        </is>
      </c>
      <c r="E6" s="3" t="n"/>
      <c r="F6" s="3" t="n"/>
      <c r="G6" s="3" t="n"/>
      <c r="H6" s="3" t="n"/>
      <c r="I6" s="3" t="n"/>
      <c r="J6" s="3" t="n"/>
      <c r="K6" s="3" t="n"/>
    </row>
    <row r="7" ht="20" customHeight="1" s="59">
      <c r="A7" s="1" t="inlineStr">
        <is>
          <t>在售 SKU</t>
        </is>
      </c>
      <c r="B7" s="7" t="n"/>
      <c r="C7" s="3" t="n"/>
      <c r="D7" s="19" t="inlineStr">
        <is>
          <t>P1 售罄/低毛利</t>
        </is>
      </c>
      <c r="E7" s="3" t="n"/>
      <c r="F7" s="3" t="n"/>
      <c r="G7" s="3" t="n"/>
      <c r="H7" s="3" t="n"/>
      <c r="I7" s="3" t="n"/>
      <c r="J7" s="3" t="n"/>
      <c r="K7" s="3" t="n"/>
    </row>
    <row r="8" ht="20" customHeight="1" s="59">
      <c r="A8" s="1" t="inlineStr">
        <is>
          <t>售罄 SKU</t>
        </is>
      </c>
      <c r="B8" s="7" t="n"/>
      <c r="C8" s="3" t="n"/>
      <c r="D8" s="19" t="inlineStr">
        <is>
          <t>P2 需要补货</t>
        </is>
      </c>
      <c r="E8" s="3" t="n"/>
      <c r="F8" s="3" t="n"/>
      <c r="G8" s="3" t="n"/>
      <c r="H8" s="3" t="n"/>
      <c r="I8" s="3" t="n"/>
      <c r="J8" s="3" t="n"/>
      <c r="K8" s="3" t="n"/>
    </row>
    <row r="9" ht="20" customHeight="1" s="59">
      <c r="A9" s="1" t="inlineStr">
        <is>
          <t>低库存 SKU</t>
        </is>
      </c>
      <c r="B9" s="7" t="n"/>
      <c r="C9" s="3" t="n"/>
      <c r="D9" s="27" t="inlineStr">
        <is>
          <t>海贼王 SKU 数</t>
        </is>
      </c>
      <c r="E9" s="3">
        <f>COUNTIFS(全量库存!$AB$5:$AB$500,"One Piece")</f>
        <v/>
      </c>
      <c r="F9" s="3" t="n"/>
      <c r="G9" s="3" t="n"/>
      <c r="H9" s="3" t="n"/>
      <c r="I9" s="3" t="n"/>
      <c r="J9" s="3" t="n"/>
      <c r="K9" s="3" t="n"/>
    </row>
    <row r="10" ht="20" customHeight="1" s="59">
      <c r="A10" s="1" t="inlineStr">
        <is>
          <t>需要调价 SKU</t>
        </is>
      </c>
      <c r="B10" s="7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20" customHeight="1" s="59">
      <c r="A11" s="1" t="inlineStr">
        <is>
          <t>汇率风险 SKU</t>
        </is>
      </c>
      <c r="B11" s="7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20" customHeight="1" s="59">
      <c r="A12" s="1" t="inlineStr">
        <is>
          <t>平均毛利率</t>
        </is>
      </c>
      <c r="B12" s="70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20" customHeight="1" s="59">
      <c r="A13" s="1" t="inlineStr">
        <is>
          <t>建议补货 SKU</t>
        </is>
      </c>
      <c r="B13" s="7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16.5" customHeight="1" s="59">
      <c r="A15" s="9" t="inlineStr">
        <is>
          <t>① 需要调价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4.5" customHeight="1" s="59">
      <c r="A16" s="10" t="inlineStr">
        <is>
          <t>商品名</t>
        </is>
      </c>
      <c r="B16" s="10" t="inlineStr">
        <is>
          <t>当前售价</t>
        </is>
      </c>
      <c r="C16" s="10" t="inlineStr">
        <is>
          <t>建议售价</t>
        </is>
      </c>
      <c r="D16" s="10" t="inlineStr">
        <is>
          <t>毛利率</t>
        </is>
      </c>
      <c r="E16" s="10" t="inlineStr">
        <is>
          <t>调价建议</t>
        </is>
      </c>
      <c r="F16" s="3" t="n"/>
      <c r="G16" s="3" t="n"/>
      <c r="H16" s="3" t="n"/>
      <c r="I16" s="3" t="n"/>
      <c r="J16" s="3" t="n"/>
      <c r="K16" s="3" t="n"/>
    </row>
    <row r="17" ht="14.5" customHeight="1" s="59">
      <c r="A17" s="11" t="n"/>
      <c r="B17" s="12" t="n"/>
      <c r="C17" s="12" t="n"/>
      <c r="D17" s="71" t="n"/>
      <c r="E17" s="11" t="n"/>
      <c r="F17" s="3" t="n"/>
      <c r="G17" s="3" t="n"/>
      <c r="H17" s="3" t="n"/>
      <c r="I17" s="3" t="n"/>
      <c r="J17" s="3" t="n"/>
      <c r="K17" s="3" t="n"/>
    </row>
    <row r="18" ht="14.5" customHeight="1" s="59">
      <c r="A18" s="11" t="n"/>
      <c r="B18" s="12" t="n"/>
      <c r="C18" s="12" t="n"/>
      <c r="D18" s="71" t="n"/>
      <c r="E18" s="11" t="n"/>
      <c r="F18" s="3" t="n"/>
      <c r="G18" s="3" t="n"/>
      <c r="H18" s="3" t="n"/>
      <c r="I18" s="3" t="n"/>
      <c r="J18" s="3" t="n"/>
      <c r="K18" s="3" t="n"/>
    </row>
    <row r="19" ht="14.5" customHeight="1" s="59">
      <c r="A19" s="11" t="n"/>
      <c r="B19" s="12" t="n"/>
      <c r="C19" s="12" t="n"/>
      <c r="D19" s="71" t="n"/>
      <c r="E19" s="11" t="n"/>
      <c r="F19" s="3" t="n"/>
      <c r="G19" s="3" t="n"/>
      <c r="H19" s="3" t="n"/>
      <c r="I19" s="3" t="n"/>
      <c r="J19" s="3" t="n"/>
      <c r="K19" s="3" t="n"/>
    </row>
    <row r="20" ht="14.5" customHeight="1" s="59">
      <c r="A20" s="11" t="n"/>
      <c r="B20" s="12" t="n"/>
      <c r="C20" s="12" t="n"/>
      <c r="D20" s="71" t="n"/>
      <c r="E20" s="11" t="n"/>
      <c r="F20" s="3" t="n"/>
      <c r="G20" s="3" t="n"/>
      <c r="H20" s="3" t="n"/>
      <c r="I20" s="3" t="n"/>
      <c r="J20" s="3" t="n"/>
      <c r="K20" s="3" t="n"/>
    </row>
    <row r="21" ht="14.5" customHeight="1" s="59">
      <c r="A21" s="11" t="n"/>
      <c r="B21" s="12" t="n"/>
      <c r="C21" s="12" t="n"/>
      <c r="D21" s="71" t="n"/>
      <c r="E21" s="11" t="n"/>
      <c r="F21" s="3" t="n"/>
      <c r="G21" s="3" t="n"/>
      <c r="H21" s="3" t="n"/>
      <c r="I21" s="3" t="n"/>
      <c r="J21" s="3" t="n"/>
      <c r="K21" s="3" t="n"/>
    </row>
    <row r="22" ht="14.5" customHeight="1" s="59">
      <c r="A22" s="11" t="n"/>
      <c r="B22" s="12" t="n"/>
      <c r="C22" s="12" t="n"/>
      <c r="D22" s="71" t="n"/>
      <c r="E22" s="11" t="n"/>
      <c r="F22" s="3" t="n"/>
      <c r="G22" s="3" t="n"/>
      <c r="H22" s="3" t="n"/>
      <c r="I22" s="3" t="n"/>
      <c r="J22" s="3" t="n"/>
      <c r="K22" s="3" t="n"/>
    </row>
    <row r="23" ht="14.5" customHeight="1" s="59">
      <c r="A23" s="11" t="n"/>
      <c r="B23" s="12" t="n"/>
      <c r="C23" s="12" t="n"/>
      <c r="D23" s="71" t="n"/>
      <c r="E23" s="11" t="n"/>
      <c r="F23" s="3" t="n"/>
      <c r="G23" s="3" t="n"/>
      <c r="H23" s="3" t="n"/>
      <c r="I23" s="3" t="n"/>
      <c r="J23" s="3" t="n"/>
      <c r="K23" s="3" t="n"/>
    </row>
    <row r="24" ht="14.5" customHeight="1" s="59">
      <c r="A24" s="11" t="n"/>
      <c r="B24" s="12" t="n"/>
      <c r="C24" s="12" t="n"/>
      <c r="D24" s="71" t="n"/>
      <c r="E24" s="11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16.5" customHeight="1" s="59">
      <c r="A28" s="9" t="inlineStr">
        <is>
          <t>② 低库存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14.5" customHeight="1" s="59">
      <c r="A29" s="10" t="inlineStr">
        <is>
          <t>商品名</t>
        </is>
      </c>
      <c r="B29" s="10" t="inlineStr">
        <is>
          <t>当前库存</t>
        </is>
      </c>
      <c r="C29" s="10" t="inlineStr">
        <is>
          <t>预警线</t>
        </is>
      </c>
      <c r="D29" s="10" t="inlineStr">
        <is>
          <t>库存变化</t>
        </is>
      </c>
      <c r="E29" s="3" t="n"/>
      <c r="F29" s="3" t="n"/>
      <c r="G29" s="3" t="n"/>
      <c r="H29" s="3" t="n"/>
      <c r="I29" s="3" t="n"/>
      <c r="J29" s="3" t="n"/>
      <c r="K29" s="3" t="n"/>
    </row>
    <row r="30" ht="14.5" customHeight="1" s="59">
      <c r="A30" s="11" t="n"/>
      <c r="B30" s="11" t="n"/>
      <c r="C30" s="11" t="n"/>
      <c r="D30" s="11" t="n"/>
      <c r="E30" s="3" t="n"/>
      <c r="F30" s="3" t="n"/>
      <c r="G30" s="3" t="n"/>
      <c r="H30" s="3" t="n"/>
      <c r="I30" s="3" t="n"/>
      <c r="J30" s="3" t="n"/>
      <c r="K30" s="3" t="n"/>
    </row>
    <row r="31" ht="14.5" customHeight="1" s="59">
      <c r="A31" s="11" t="n"/>
      <c r="B31" s="11" t="n"/>
      <c r="C31" s="11" t="n"/>
      <c r="D31" s="11" t="n"/>
      <c r="E31" s="3" t="n"/>
      <c r="F31" s="3" t="n"/>
      <c r="G31" s="3" t="n"/>
      <c r="H31" s="3" t="n"/>
      <c r="I31" s="3" t="n"/>
      <c r="J31" s="3" t="n"/>
      <c r="K31" s="3" t="n"/>
    </row>
    <row r="32" ht="14.5" customHeight="1" s="59">
      <c r="A32" s="11" t="n"/>
      <c r="B32" s="11" t="n"/>
      <c r="C32" s="11" t="n"/>
      <c r="D32" s="11" t="n"/>
      <c r="E32" s="3" t="n"/>
      <c r="F32" s="3" t="n"/>
      <c r="G32" s="3" t="n"/>
      <c r="H32" s="3" t="n"/>
      <c r="I32" s="3" t="n"/>
      <c r="J32" s="3" t="n"/>
      <c r="K32" s="3" t="n"/>
    </row>
    <row r="33" ht="14.5" customHeight="1" s="59">
      <c r="A33" s="11" t="n"/>
      <c r="B33" s="11" t="n"/>
      <c r="C33" s="11" t="n"/>
      <c r="D33" s="11" t="n"/>
      <c r="E33" s="3" t="n"/>
      <c r="F33" s="3" t="n"/>
      <c r="G33" s="3" t="n"/>
      <c r="H33" s="3" t="n"/>
      <c r="I33" s="3" t="n"/>
      <c r="J33" s="3" t="n"/>
      <c r="K33" s="3" t="n"/>
    </row>
    <row r="34" ht="14.5" customHeight="1" s="59">
      <c r="A34" s="11" t="n"/>
      <c r="B34" s="11" t="n"/>
      <c r="C34" s="11" t="n"/>
      <c r="D34" s="11" t="n"/>
      <c r="E34" s="3" t="n"/>
      <c r="F34" s="3" t="n"/>
      <c r="G34" s="3" t="n"/>
      <c r="H34" s="3" t="n"/>
      <c r="I34" s="3" t="n"/>
      <c r="J34" s="3" t="n"/>
      <c r="K34" s="3" t="n"/>
    </row>
    <row r="35" ht="14.5" customHeight="1" s="59">
      <c r="A35" s="11" t="n"/>
      <c r="B35" s="11" t="n"/>
      <c r="C35" s="11" t="n"/>
      <c r="D35" s="11" t="n"/>
      <c r="E35" s="3" t="n"/>
      <c r="F35" s="3" t="n"/>
      <c r="G35" s="3" t="n"/>
      <c r="H35" s="3" t="n"/>
      <c r="I35" s="3" t="n"/>
      <c r="J35" s="3" t="n"/>
      <c r="K35" s="3" t="n"/>
    </row>
    <row r="36" ht="14.5" customHeight="1" s="59">
      <c r="A36" s="11" t="n"/>
      <c r="B36" s="11" t="n"/>
      <c r="C36" s="11" t="n"/>
      <c r="D36" s="11" t="n"/>
      <c r="E36" s="3" t="n"/>
      <c r="F36" s="3" t="n"/>
      <c r="G36" s="3" t="n"/>
      <c r="H36" s="3" t="n"/>
      <c r="I36" s="3" t="n"/>
      <c r="J36" s="3" t="n"/>
      <c r="K36" s="3" t="n"/>
    </row>
    <row r="37" ht="14.5" customHeight="1" s="59">
      <c r="A37" s="11" t="n"/>
      <c r="B37" s="11" t="n"/>
      <c r="C37" s="11" t="n"/>
      <c r="D37" s="11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 ht="16.5" customHeight="1" s="59">
      <c r="A41" s="9" t="inlineStr">
        <is>
          <t>③ 汇率风险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 ht="14.5" customHeight="1" s="59">
      <c r="A42" s="10" t="inlineStr">
        <is>
          <t>商品名</t>
        </is>
      </c>
      <c r="B42" s="10" t="inlineStr">
        <is>
          <t>成本CNY</t>
        </is>
      </c>
      <c r="C42" s="10" t="inlineStr">
        <is>
          <t>入货汇率</t>
        </is>
      </c>
      <c r="D42" s="10" t="inlineStr">
        <is>
          <t>当前汇率</t>
        </is>
      </c>
      <c r="E42" s="10" t="inlineStr">
        <is>
          <t>汇率差</t>
        </is>
      </c>
      <c r="F42" s="10" t="inlineStr">
        <is>
          <t>建议</t>
        </is>
      </c>
      <c r="G42" s="3" t="n"/>
      <c r="H42" s="3" t="n"/>
      <c r="I42" s="3" t="n"/>
      <c r="J42" s="3" t="n"/>
      <c r="K42" s="3" t="n"/>
    </row>
    <row r="43" ht="14.5" customHeight="1" s="59">
      <c r="A43" s="11" t="n"/>
      <c r="B43" s="14" t="n"/>
      <c r="C43" s="15" t="n"/>
      <c r="D43" s="15" t="n"/>
      <c r="E43" s="12" t="n"/>
      <c r="F43" s="11" t="n"/>
      <c r="G43" s="3" t="n"/>
      <c r="H43" s="3" t="n"/>
      <c r="I43" s="3" t="n"/>
      <c r="J43" s="3" t="n"/>
      <c r="K43" s="3" t="n"/>
    </row>
    <row r="44" ht="14.5" customHeight="1" s="59">
      <c r="A44" s="11" t="n"/>
      <c r="B44" s="14" t="n"/>
      <c r="C44" s="15" t="n"/>
      <c r="D44" s="15" t="n"/>
      <c r="E44" s="12" t="n"/>
      <c r="F44" s="11" t="n"/>
      <c r="G44" s="3" t="n"/>
      <c r="H44" s="3" t="n"/>
      <c r="I44" s="3" t="n"/>
      <c r="J44" s="3" t="n"/>
      <c r="K44" s="3" t="n"/>
    </row>
    <row r="45" ht="14.5" customHeight="1" s="59">
      <c r="A45" s="11" t="n"/>
      <c r="B45" s="14" t="n"/>
      <c r="C45" s="15" t="n"/>
      <c r="D45" s="15" t="n"/>
      <c r="E45" s="12" t="n"/>
      <c r="F45" s="11" t="n"/>
      <c r="G45" s="3" t="n"/>
      <c r="H45" s="3" t="n"/>
      <c r="I45" s="3" t="n"/>
      <c r="J45" s="3" t="n"/>
      <c r="K45" s="3" t="n"/>
    </row>
    <row r="46" ht="14.5" customHeight="1" s="59">
      <c r="A46" s="11" t="n"/>
      <c r="B46" s="14" t="n"/>
      <c r="C46" s="15" t="n"/>
      <c r="D46" s="15" t="n"/>
      <c r="E46" s="12" t="n"/>
      <c r="F46" s="11" t="n"/>
      <c r="G46" s="3" t="n"/>
      <c r="H46" s="3" t="n"/>
      <c r="I46" s="3" t="n"/>
      <c r="J46" s="3" t="n"/>
      <c r="K46" s="3" t="n"/>
    </row>
    <row r="47" ht="14.5" customHeight="1" s="59">
      <c r="A47" s="11" t="n"/>
      <c r="B47" s="14" t="n"/>
      <c r="C47" s="15" t="n"/>
      <c r="D47" s="15" t="n"/>
      <c r="E47" s="12" t="n"/>
      <c r="F47" s="11" t="n"/>
      <c r="G47" s="3" t="n"/>
      <c r="H47" s="3" t="n"/>
      <c r="I47" s="3" t="n"/>
      <c r="J47" s="3" t="n"/>
      <c r="K47" s="3" t="n"/>
    </row>
    <row r="48" ht="14.5" customHeight="1" s="59">
      <c r="A48" s="11" t="n"/>
      <c r="B48" s="14" t="n"/>
      <c r="C48" s="15" t="n"/>
      <c r="D48" s="15" t="n"/>
      <c r="E48" s="12" t="n"/>
      <c r="F48" s="11" t="n"/>
      <c r="G48" s="3" t="n"/>
      <c r="H48" s="3" t="n"/>
      <c r="I48" s="3" t="n"/>
      <c r="J48" s="3" t="n"/>
      <c r="K48" s="3" t="n"/>
    </row>
    <row r="49" ht="14.5" customHeight="1" s="59">
      <c r="A49" s="11" t="n"/>
      <c r="B49" s="14" t="n"/>
      <c r="C49" s="15" t="n"/>
      <c r="D49" s="15" t="n"/>
      <c r="E49" s="12" t="n"/>
      <c r="F49" s="11" t="n"/>
      <c r="G49" s="3" t="n"/>
      <c r="H49" s="3" t="n"/>
      <c r="I49" s="3" t="n"/>
      <c r="J49" s="3" t="n"/>
      <c r="K49" s="3" t="n"/>
    </row>
    <row r="50" ht="14.5" customHeight="1" s="59">
      <c r="A50" s="11" t="n"/>
      <c r="B50" s="14" t="n"/>
      <c r="C50" s="15" t="n"/>
      <c r="D50" s="15" t="n"/>
      <c r="E50" s="12" t="n"/>
      <c r="F50" s="11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15" customHeight="1" s="59">
      <c r="A54" s="16" t="inlineStr">
        <is>
          <t>说明：修改「当前汇率」后全表自动重算；成本价(CNY)/成本汇率为手工录入；#NAME? 已改为带引号工作表引用。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4"/>
  <cols>
    <col width="20" customWidth="1" style="59" min="1" max="1"/>
    <col width="46" customWidth="1" style="59" min="2" max="2"/>
    <col width="16" customWidth="1" style="59" min="3" max="3"/>
    <col width="4" customWidth="1" style="59" min="4" max="4"/>
  </cols>
  <sheetData>
    <row r="1" ht="16.5" customHeight="1" s="59">
      <c r="A1" s="20" t="inlineStr">
        <is>
          <t>系统设置 · 参数中心</t>
        </is>
      </c>
    </row>
    <row r="2">
      <c r="A2" s="17" t="inlineStr">
        <is>
          <t>说明：改这里的参数，「总览」「全量库存」全表自动重算；日常只需要在「全量库存」里维护「库存」和「销售价(JPY)」两列。</t>
        </is>
      </c>
    </row>
    <row r="4">
      <c r="A4" s="21" t="inlineStr">
        <is>
          <t>汇率设置</t>
        </is>
      </c>
      <c r="B4" s="22" t="n"/>
      <c r="C4" s="22" t="n"/>
      <c r="D4" s="22" t="n"/>
    </row>
    <row r="5">
      <c r="A5" s="23" t="inlineStr">
        <is>
          <t>当前汇率（CNY→JPY）</t>
        </is>
      </c>
      <c r="B5" s="17" t="inlineStr">
        <is>
          <t>与「总览」互相联动，改这里两边同步；原数值未改动</t>
        </is>
      </c>
      <c r="C5" s="24" t="n">
        <v>21.8</v>
      </c>
    </row>
    <row r="6">
      <c r="A6" s="23" t="inlineStr">
        <is>
          <t>人民币→日元（自动）</t>
        </is>
      </c>
      <c r="B6" s="17" t="n"/>
      <c r="C6" s="24" t="n"/>
    </row>
    <row r="8">
      <c r="A8" s="21" t="inlineStr">
        <is>
          <t>毛利率阈值（原写死在「全量库存」公式里，现集中到这里）</t>
        </is>
      </c>
      <c r="B8" s="22" t="n"/>
      <c r="C8" s="22" t="n"/>
      <c r="D8" s="22" t="n"/>
    </row>
    <row r="9">
      <c r="A9" s="23" t="inlineStr">
        <is>
          <t>利润过低阈值</t>
        </is>
      </c>
      <c r="B9" s="17" t="inlineStr">
        <is>
          <t>毛利率低于此值 → 价格状态标「利润过低」，调价建议「建议涨价」</t>
        </is>
      </c>
      <c r="C9" s="25" t="n">
        <v>0.1</v>
      </c>
    </row>
    <row r="10">
      <c r="A10" s="23" t="inlineStr">
        <is>
          <t>目标毛利率</t>
        </is>
      </c>
      <c r="B10" s="17" t="inlineStr">
        <is>
          <t>毛利率达到此值 → 「利润正常/维持」；也用于反推「建议售价」（售价=成本/(1-目标毛利率)）</t>
        </is>
      </c>
      <c r="C10" s="25" t="n">
        <v>0.2</v>
      </c>
    </row>
    <row r="12">
      <c r="A12" s="21" t="inlineStr">
        <is>
          <t>风险与库存阈值</t>
        </is>
      </c>
      <c r="B12" s="22" t="n"/>
      <c r="C12" s="22" t="n"/>
      <c r="D12" s="22" t="n"/>
    </row>
    <row r="13">
      <c r="A13" s="23" t="inlineStr">
        <is>
          <t>汇率风险阈值</t>
        </is>
      </c>
      <c r="B13" s="17" t="inlineStr">
        <is>
          <t>汇率差率超过此值 → 标记「汇率风险」</t>
        </is>
      </c>
      <c r="C13" s="25" t="n">
        <v>0.05</v>
      </c>
    </row>
    <row r="14">
      <c r="A14" s="23" t="inlineStr">
        <is>
          <t>默认库存预警线</t>
        </is>
      </c>
      <c r="B14" s="17" t="inlineStr">
        <is>
          <t>参考值；现有商品「全量库存」里已各自设置预警线，此项不覆盖</t>
        </is>
      </c>
      <c r="C14" s="24" t="n">
        <v>3</v>
      </c>
    </row>
    <row r="16">
      <c r="A16" s="21" t="inlineStr">
        <is>
          <t>系统信息</t>
        </is>
      </c>
      <c r="B16" s="22" t="n"/>
      <c r="C16" s="22" t="n"/>
      <c r="D16" s="22" t="n"/>
    </row>
    <row r="17">
      <c r="A17" s="23" t="inlineStr">
        <is>
          <t>系统名称</t>
        </is>
      </c>
      <c r="C17" t="inlineStr">
        <is>
          <t>PIMART 内部库存价格管理</t>
        </is>
      </c>
    </row>
    <row r="18">
      <c r="A18" s="23" t="inlineStr">
        <is>
          <t>最后更新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0"/>
    <pageSetUpPr/>
  </sheetPr>
  <dimension ref="A1:AT291"/>
  <sheetViews>
    <sheetView showGridLines="0" tabSelected="1" showOutlineSymbols="1" zoomScale="10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211" sqref="A211"/>
    </sheetView>
  </sheetViews>
  <sheetFormatPr baseColWidth="8" defaultRowHeight="14" outlineLevelRow="0"/>
  <cols>
    <col width="40" customWidth="1" style="59" min="1" max="1"/>
    <col width="16" customWidth="1" style="59" min="2" max="2"/>
    <col width="12" customWidth="1" style="59" min="3" max="3"/>
    <col width="8" customWidth="1" style="59" min="4" max="4"/>
    <col width="9" customWidth="1" style="59" min="5" max="5"/>
    <col width="8" customWidth="1" style="59" min="6" max="6"/>
    <col width="12" customWidth="1" style="59" min="7" max="7"/>
    <col width="11" customWidth="1" style="59" min="8" max="11"/>
    <col width="8" customWidth="1" style="59" min="9" max="9"/>
    <col width="8" customWidth="1" style="59" min="10" max="10"/>
    <col width="8" customWidth="1" style="59" min="11" max="11"/>
    <col width="8" customWidth="1" style="59" min="12" max="12"/>
    <col hidden="1" width="8" customWidth="1" style="59" min="13" max="15"/>
    <col width="20" customWidth="1" style="59" min="14" max="14"/>
    <col hidden="1" width="28" customWidth="1" style="59" min="16" max="16"/>
    <col hidden="1" width="22" customWidth="1" style="59" min="17" max="17"/>
    <col hidden="1" width="26" customWidth="1" style="59" min="18" max="18"/>
    <col hidden="1" width="11" customWidth="1" style="59" min="19" max="19"/>
    <col hidden="1" collapsed="1" width="36" customWidth="1" style="59" min="20" max="20"/>
    <col width="13" customWidth="1" style="59" min="21" max="30"/>
  </cols>
  <sheetData>
    <row r="1" ht="24" customHeight="1" s="59">
      <c r="A1" s="72" t="inlineStr">
        <is>
          <t>宝可梦 · PIMART</t>
        </is>
      </c>
      <c r="M1" s="30" t="n"/>
      <c r="N1" s="30" t="n"/>
      <c r="O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</row>
    <row r="2" ht="30" customHeight="1" s="59">
      <c r="A2" s="73" t="inlineStr">
        <is>
          <t>【大纲 1 / 2】点「1」只显示原盒主行（日常改库存/售价）。点「2」或行号旁「+」展开散包/原箱（有规格的新品写到这一层）。新品：先写规格=原盒，再在下方挂散包、原箱两行。</t>
        </is>
      </c>
      <c r="B2" s="30" t="n"/>
      <c r="C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1" t="n"/>
      <c r="P2" s="69" t="n"/>
      <c r="Q2" s="69" t="n"/>
      <c r="R2" s="69" t="n"/>
      <c r="S2" s="69" t="n"/>
      <c r="T2" s="69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</row>
    <row r="3" ht="26" customHeight="1" s="59">
      <c r="A3" s="74" t="inlineStr">
        <is>
          <t>商品名</t>
        </is>
      </c>
      <c r="B3" s="74" t="inlineStr">
        <is>
          <t>系列</t>
        </is>
      </c>
      <c r="C3" s="74" t="inlineStr">
        <is>
          <t>盒型/类型</t>
        </is>
      </c>
      <c r="D3" s="74" t="inlineStr">
        <is>
          <t>规格</t>
        </is>
      </c>
      <c r="E3" s="74" t="inlineStr">
        <is>
          <t>销售状态</t>
        </is>
      </c>
      <c r="F3" s="74" t="inlineStr">
        <is>
          <t>库存</t>
        </is>
      </c>
      <c r="G3" s="74" t="inlineStr">
        <is>
          <t>销售价(JPY)</t>
        </is>
      </c>
      <c r="H3" s="74" t="inlineStr">
        <is>
          <t>成本价(CNY)</t>
        </is>
      </c>
      <c r="I3" s="74" t="inlineStr">
        <is>
          <t>语言</t>
        </is>
      </c>
      <c r="J3" s="74" t="inlineStr">
        <is>
          <t>是否预售</t>
        </is>
      </c>
      <c r="K3" s="74" t="inlineStr">
        <is>
          <t>首页推荐</t>
        </is>
      </c>
      <c r="L3" s="74" t="inlineStr">
        <is>
          <t>发货天数</t>
        </is>
      </c>
      <c r="M3" s="74" t="inlineStr">
        <is>
          <t>图片</t>
        </is>
      </c>
      <c r="N3" s="74" t="inlineStr">
        <is>
          <t>优先级</t>
        </is>
      </c>
      <c r="O3" s="74" t="inlineStr">
        <is>
          <t>商品类型</t>
        </is>
      </c>
      <c r="P3" s="74" t="inlineStr">
        <is>
          <t>备注</t>
        </is>
      </c>
      <c r="Q3" s="74" t="inlineStr">
        <is>
          <t>商品ID</t>
        </is>
      </c>
      <c r="R3" s="74" t="inlineStr">
        <is>
          <t>SKU/Slug</t>
        </is>
      </c>
      <c r="S3" s="74" t="inlineStr">
        <is>
          <t>游戏</t>
        </is>
      </c>
      <c r="T3" s="74" t="inlineStr">
        <is>
          <t>商品链接</t>
        </is>
      </c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</row>
    <row r="4" ht="20" customFormat="1" customHeight="1" s="34">
      <c r="A4" s="75" t="inlineStr">
        <is>
          <t>朱・紫 · 扩充包（瘦盒优先 / 新→旧）</t>
        </is>
      </c>
      <c r="B4" s="75" t="n"/>
      <c r="C4" s="75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</row>
    <row r="5" ht="18" customHeight="1" s="59">
      <c r="A5" s="76" t="inlineStr">
        <is>
          <t xml:space="preserve">  第10弹 · 共逐荣光（瘦盒5张装 / 肥盒20张装）</t>
        </is>
      </c>
      <c r="B5" s="76" t="n"/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</row>
    <row r="6" collapsed="1" ht="18" customHeight="1" s="59">
      <c r="A6" s="77" t="inlineStr">
        <is>
          <t>补充包 共逐荣光 瘦盒 BOX（简中）</t>
        </is>
      </c>
      <c r="B6" s="77" t="inlineStr">
        <is>
          <t>朱・紫 CSV10c</t>
        </is>
      </c>
      <c r="C6" s="78" t="inlineStr">
        <is>
          <t>瘦盒</t>
        </is>
      </c>
      <c r="D6" s="79" t="inlineStr">
        <is>
          <t>原盒</t>
        </is>
      </c>
      <c r="E6" s="78" t="inlineStr">
        <is>
          <t>售罄</t>
        </is>
      </c>
      <c r="F6" s="78" t="n">
        <v>0</v>
      </c>
      <c r="G6" s="78" t="n">
        <v>6500</v>
      </c>
      <c r="H6" s="78" t="n">
        <v>170</v>
      </c>
      <c r="I6" s="78" t="inlineStr">
        <is>
          <t>简中</t>
        </is>
      </c>
      <c r="J6" s="78" t="inlineStr">
        <is>
          <t>是</t>
        </is>
      </c>
      <c r="K6" s="78" t="inlineStr">
        <is>
          <t>是</t>
        </is>
      </c>
      <c r="L6" s="78" t="n">
        <v>5</v>
      </c>
      <c r="M6" s="77" t="inlineStr">
        <is>
          <t>/products/csv10c-slim.png</t>
        </is>
      </c>
      <c r="N6" s="78" t="n"/>
      <c r="O6" s="78" t="inlineStr">
        <is>
          <t>扩充包</t>
        </is>
      </c>
      <c r="P6" s="77" t="inlineStr">
        <is>
          <t>官网/集换社：朱&amp;紫「共逐荣光」同弹分肥瘦。本行=瘦盒（5张装×15包/盒）。配对另一规格见同弹另一行。 | 参考：官网/集换社：同弹肥瘦配对。本行=肥盒（20张装×6包/盒）。 | 朱紫第10弹，2026-07-16发售。含222+张卡牌，全新「训练家的宝可梦」卡牌类型，5张装10元/包，20张装50元/包。</t>
        </is>
      </c>
      <c r="Q6" s="77" t="inlineStr">
        <is>
          <t>c6a43bce026a4cc8a76523</t>
        </is>
      </c>
      <c r="R6" s="77" t="inlineStr">
        <is>
          <t>共逐荣光-简中-slim-box-简中</t>
        </is>
      </c>
      <c r="S6" s="78" t="inlineStr">
        <is>
          <t>Pokemon</t>
        </is>
      </c>
      <c r="T6" s="77" t="inlineStr">
        <is>
          <t>https://pimart-card-production.up.railway.app/products/共逐荣光-box-简中</t>
        </is>
      </c>
    </row>
    <row r="7" hidden="1" outlineLevel="1" ht="17" customHeight="1" s="59">
      <c r="A7" s="80" t="inlineStr">
        <is>
          <t>补充包 共逐荣光 瘦盒 BOX（简中）</t>
        </is>
      </c>
      <c r="B7" s="80" t="inlineStr">
        <is>
          <t>朱・紫 CSV10c</t>
        </is>
      </c>
      <c r="C7" s="81" t="inlineStr">
        <is>
          <t>瘦盒</t>
        </is>
      </c>
      <c r="D7" s="82" t="inlineStr">
        <is>
          <t>散包</t>
        </is>
      </c>
      <c r="E7" s="81" t="inlineStr">
        <is>
          <t>售罄</t>
        </is>
      </c>
      <c r="F7" s="81" t="n"/>
      <c r="G7" s="81" t="n"/>
      <c r="H7" s="81" t="n">
        <v>170</v>
      </c>
      <c r="I7" s="81" t="inlineStr">
        <is>
          <t>简中</t>
        </is>
      </c>
      <c r="J7" s="81" t="inlineStr">
        <is>
          <t>是</t>
        </is>
      </c>
      <c r="K7" s="81" t="inlineStr">
        <is>
          <t>是</t>
        </is>
      </c>
      <c r="L7" s="81" t="n">
        <v>5</v>
      </c>
      <c r="M7" s="80" t="inlineStr">
        <is>
          <t>/products/csv10c-slim.png</t>
        </is>
      </c>
      <c r="N7" s="81" t="n"/>
      <c r="O7" s="81" t="inlineStr">
        <is>
          <t>扩充包</t>
        </is>
      </c>
      <c r="P7" s="80" t="inlineStr">
        <is>
          <t>官网/集换社：朱&amp;紫「共逐荣光」同弹分肥瘦。本行=瘦盒（5张装×15包/盒）。配对另一规格见同弹另一行。 | 参考：官网/集换社：同弹肥瘦配对。本行=肥盒（20张装×6包/盒）。 | 朱紫第10弹，2026-07-16发售。含222+张卡牌，全新「训练家的宝可梦」卡牌类型，5张装10元/包，20张装50元/包。</t>
        </is>
      </c>
      <c r="Q7" s="80" t="inlineStr">
        <is>
          <t>c6a43bce026a4cc8a76523</t>
        </is>
      </c>
      <c r="R7" s="80" t="inlineStr">
        <is>
          <t>共逐荣光-简中-slim-box-简中</t>
        </is>
      </c>
      <c r="S7" s="81" t="inlineStr">
        <is>
          <t>Pokemon</t>
        </is>
      </c>
      <c r="T7" s="80" t="inlineStr">
        <is>
          <t>https://pimart-card-production.up.railway.app/products/共逐荣光-box-简中</t>
        </is>
      </c>
    </row>
    <row r="8" hidden="1" outlineLevel="1" ht="17" customHeight="1" s="59">
      <c r="A8" s="80" t="inlineStr">
        <is>
          <t>补充包 共逐荣光 瘦盒 BOX（简中）</t>
        </is>
      </c>
      <c r="B8" s="80" t="inlineStr">
        <is>
          <t>朱・紫 CSV10c</t>
        </is>
      </c>
      <c r="C8" s="81" t="inlineStr">
        <is>
          <t>瘦盒</t>
        </is>
      </c>
      <c r="D8" s="82" t="inlineStr">
        <is>
          <t>原箱</t>
        </is>
      </c>
      <c r="E8" s="81" t="inlineStr">
        <is>
          <t>售罄</t>
        </is>
      </c>
      <c r="F8" s="81" t="n"/>
      <c r="G8" s="81" t="n"/>
      <c r="H8" s="81" t="n">
        <v>170</v>
      </c>
      <c r="I8" s="81" t="inlineStr">
        <is>
          <t>简中</t>
        </is>
      </c>
      <c r="J8" s="81" t="inlineStr">
        <is>
          <t>是</t>
        </is>
      </c>
      <c r="K8" s="81" t="inlineStr">
        <is>
          <t>是</t>
        </is>
      </c>
      <c r="L8" s="81" t="n">
        <v>5</v>
      </c>
      <c r="M8" s="80" t="inlineStr">
        <is>
          <t>/products/csv10c-slim.png</t>
        </is>
      </c>
      <c r="N8" s="81" t="n"/>
      <c r="O8" s="81" t="inlineStr">
        <is>
          <t>扩充包</t>
        </is>
      </c>
      <c r="P8" s="80" t="inlineStr">
        <is>
          <t>官网/集换社：朱&amp;紫「共逐荣光」同弹分肥瘦。本行=瘦盒（5张装×15包/盒）。配对另一规格见同弹另一行。 | 参考：官网/集换社：同弹肥瘦配对。本行=肥盒（20张装×6包/盒）。 | 朱紫第10弹，2026-07-16发售。含222+张卡牌，全新「训练家的宝可梦」卡牌类型，5张装10元/包，20张装50元/包。</t>
        </is>
      </c>
      <c r="Q8" s="80" t="inlineStr">
        <is>
          <t>c6a43bce026a4cc8a76523</t>
        </is>
      </c>
      <c r="R8" s="80" t="inlineStr">
        <is>
          <t>共逐荣光-简中-slim-box-简中</t>
        </is>
      </c>
      <c r="S8" s="81" t="inlineStr">
        <is>
          <t>Pokemon</t>
        </is>
      </c>
      <c r="T8" s="80" t="inlineStr">
        <is>
          <t>https://pimart-card-production.up.railway.app/products/共逐荣光-box-简中</t>
        </is>
      </c>
    </row>
    <row r="9" collapsed="1" ht="18" customHeight="1" s="59">
      <c r="A9" s="83" t="inlineStr">
        <is>
          <t>补充包 共逐荣光 肥盒 BOX（简中）</t>
        </is>
      </c>
      <c r="B9" s="83" t="inlineStr">
        <is>
          <t>朱・紫 CSV10c</t>
        </is>
      </c>
      <c r="C9" s="84" t="inlineStr">
        <is>
          <t>肥盒</t>
        </is>
      </c>
      <c r="D9" s="79" t="inlineStr">
        <is>
          <t>原盒</t>
        </is>
      </c>
      <c r="E9" s="84" t="inlineStr">
        <is>
          <t>预售</t>
        </is>
      </c>
      <c r="F9" s="84" t="n">
        <v>0</v>
      </c>
      <c r="G9" s="84" t="n">
        <v>6500</v>
      </c>
      <c r="H9" s="84" t="n">
        <v>170</v>
      </c>
      <c r="I9" s="84" t="inlineStr">
        <is>
          <t>简中</t>
        </is>
      </c>
      <c r="J9" s="84" t="inlineStr">
        <is>
          <t>是</t>
        </is>
      </c>
      <c r="K9" s="84" t="inlineStr">
        <is>
          <t>是</t>
        </is>
      </c>
      <c r="L9" s="84" t="n">
        <v>5</v>
      </c>
      <c r="M9" s="83" t="inlineStr">
        <is>
          <t>/products/csv10c-fat.png</t>
        </is>
      </c>
      <c r="N9" s="84" t="n"/>
      <c r="O9" s="84" t="inlineStr">
        <is>
          <t>扩充包</t>
        </is>
      </c>
      <c r="P9" s="83" t="inlineStr">
        <is>
          <t>官网/集换社：同弹肥瘦配对。本行=肥盒（20张装×6包/盒）。 | 朱紫第10弹，2026-07-16发售。含222+张卡牌，全新「训练家的宝可梦」卡牌类型，5张装10元/包，20张装50元/包。</t>
        </is>
      </c>
      <c r="Q9" s="83" t="inlineStr">
        <is>
          <t>c6a43bce026a4cc8a76523</t>
        </is>
      </c>
      <c r="R9" s="83" t="inlineStr">
        <is>
          <t>共逐荣光-fat-box-简中</t>
        </is>
      </c>
      <c r="S9" s="84" t="inlineStr">
        <is>
          <t>Pokemon</t>
        </is>
      </c>
      <c r="T9" s="83" t="inlineStr">
        <is>
          <t>https://pimart-card-production.up.railway.app/products/共逐荣光-box-简中</t>
        </is>
      </c>
    </row>
    <row r="10" hidden="1" outlineLevel="1" ht="17" customHeight="1" s="59">
      <c r="A10" s="80" t="inlineStr">
        <is>
          <t>补充包 共逐荣光 肥盒 BOX（简中）</t>
        </is>
      </c>
      <c r="B10" s="80" t="inlineStr">
        <is>
          <t>朱・紫 CSV10c</t>
        </is>
      </c>
      <c r="C10" s="81" t="inlineStr">
        <is>
          <t>肥盒</t>
        </is>
      </c>
      <c r="D10" s="82" t="inlineStr">
        <is>
          <t>散包</t>
        </is>
      </c>
      <c r="E10" s="81" t="inlineStr">
        <is>
          <t>预售</t>
        </is>
      </c>
      <c r="F10" s="81" t="n"/>
      <c r="G10" s="81" t="n"/>
      <c r="H10" s="81" t="n">
        <v>170</v>
      </c>
      <c r="I10" s="81" t="inlineStr">
        <is>
          <t>简中</t>
        </is>
      </c>
      <c r="J10" s="81" t="inlineStr">
        <is>
          <t>是</t>
        </is>
      </c>
      <c r="K10" s="81" t="inlineStr">
        <is>
          <t>是</t>
        </is>
      </c>
      <c r="L10" s="81" t="n">
        <v>5</v>
      </c>
      <c r="M10" s="80" t="inlineStr">
        <is>
          <t>/products/csv10c-fat.png</t>
        </is>
      </c>
      <c r="N10" s="81" t="n"/>
      <c r="O10" s="81" t="inlineStr">
        <is>
          <t>扩充包</t>
        </is>
      </c>
      <c r="P10" s="80" t="inlineStr">
        <is>
          <t>官网/集换社：同弹肥瘦配对。本行=肥盒（20张装×6包/盒）。 | 朱紫第10弹，2026-07-16发售。含222+张卡牌，全新「训练家的宝可梦」卡牌类型，5张装10元/包，20张装50元/包。</t>
        </is>
      </c>
      <c r="Q10" s="80" t="inlineStr">
        <is>
          <t>c6a43bce026a4cc8a76523</t>
        </is>
      </c>
      <c r="R10" s="80" t="inlineStr">
        <is>
          <t>共逐荣光-fat-box-简中</t>
        </is>
      </c>
      <c r="S10" s="81" t="inlineStr">
        <is>
          <t>Pokemon</t>
        </is>
      </c>
      <c r="T10" s="80" t="inlineStr">
        <is>
          <t>https://pimart-card-production.up.railway.app/products/共逐荣光-box-简中</t>
        </is>
      </c>
    </row>
    <row r="11" hidden="1" outlineLevel="1" ht="17" customHeight="1" s="59">
      <c r="A11" s="80" t="inlineStr">
        <is>
          <t>补充包 共逐荣光 肥盒 BOX（简中）</t>
        </is>
      </c>
      <c r="B11" s="80" t="inlineStr">
        <is>
          <t>朱・紫 CSV10c</t>
        </is>
      </c>
      <c r="C11" s="81" t="inlineStr">
        <is>
          <t>肥盒</t>
        </is>
      </c>
      <c r="D11" s="82" t="inlineStr">
        <is>
          <t>原箱</t>
        </is>
      </c>
      <c r="E11" s="81" t="inlineStr">
        <is>
          <t>预售</t>
        </is>
      </c>
      <c r="F11" s="81" t="n"/>
      <c r="G11" s="81" t="n"/>
      <c r="H11" s="81" t="n">
        <v>170</v>
      </c>
      <c r="I11" s="81" t="inlineStr">
        <is>
          <t>简中</t>
        </is>
      </c>
      <c r="J11" s="81" t="inlineStr">
        <is>
          <t>是</t>
        </is>
      </c>
      <c r="K11" s="81" t="inlineStr">
        <is>
          <t>是</t>
        </is>
      </c>
      <c r="L11" s="81" t="n">
        <v>5</v>
      </c>
      <c r="M11" s="80" t="inlineStr">
        <is>
          <t>/products/csv10c-fat.png</t>
        </is>
      </c>
      <c r="N11" s="81" t="n"/>
      <c r="O11" s="81" t="inlineStr">
        <is>
          <t>扩充包</t>
        </is>
      </c>
      <c r="P11" s="80" t="inlineStr">
        <is>
          <t>官网/集换社：同弹肥瘦配对。本行=肥盒（20张装×6包/盒）。 | 朱紫第10弹，2026-07-16发售。含222+张卡牌，全新「训练家的宝可梦」卡牌类型，5张装10元/包，20张装50元/包。</t>
        </is>
      </c>
      <c r="Q11" s="80" t="inlineStr">
        <is>
          <t>c6a43bce026a4cc8a76523</t>
        </is>
      </c>
      <c r="R11" s="80" t="inlineStr">
        <is>
          <t>共逐荣光-fat-box-简中</t>
        </is>
      </c>
      <c r="S11" s="81" t="inlineStr">
        <is>
          <t>Pokemon</t>
        </is>
      </c>
      <c r="T11" s="80" t="inlineStr">
        <is>
          <t>https://pimart-card-production.up.railway.app/products/共逐荣光-box-简中</t>
        </is>
      </c>
    </row>
    <row r="12" collapsed="1" ht="18" customHeight="1" s="59">
      <c r="A12" s="76" t="inlineStr">
        <is>
          <t xml:space="preserve">  第9弹 · 星彩晶璃（瘦盒5张装 / 肥盒20张装）</t>
        </is>
      </c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</row>
    <row r="13" collapsed="1" ht="18" customHeight="1" s="59">
      <c r="A13" s="77" t="inlineStr">
        <is>
          <t>补充包 星彩晶璃 瘦盒 BOX（简中）</t>
        </is>
      </c>
      <c r="B13" s="77" t="inlineStr">
        <is>
          <t>朱・紫 CSV9c</t>
        </is>
      </c>
      <c r="C13" s="78" t="inlineStr">
        <is>
          <t>瘦盒</t>
        </is>
      </c>
      <c r="D13" s="79" t="inlineStr">
        <is>
          <t>原盒</t>
        </is>
      </c>
      <c r="E13" s="78" t="inlineStr">
        <is>
          <t>售罄</t>
        </is>
      </c>
      <c r="F13" s="78" t="n">
        <v>0</v>
      </c>
      <c r="G13" s="78" t="n">
        <v>6200</v>
      </c>
      <c r="H13" s="78" t="n">
        <v>166.34</v>
      </c>
      <c r="I13" s="78" t="inlineStr">
        <is>
          <t>简中</t>
        </is>
      </c>
      <c r="J13" s="78" t="inlineStr">
        <is>
          <t>否</t>
        </is>
      </c>
      <c r="K13" s="78" t="inlineStr">
        <is>
          <t>是</t>
        </is>
      </c>
      <c r="L13" s="78" t="n">
        <v>6</v>
      </c>
      <c r="M13" s="77" t="inlineStr">
        <is>
          <t>/products/csv9c-slim.png</t>
        </is>
      </c>
      <c r="N13" s="78" t="n"/>
      <c r="O13" s="78" t="inlineStr">
        <is>
          <t>扩充包</t>
        </is>
      </c>
      <c r="P13" s="77" t="inlineStr">
        <is>
          <t>官网/集换社：朱&amp;紫「星彩晶璃」同弹分肥瘦。本行=瘦盒（5张装×15包/盒）。配对另一规格见同弹另一行。 | 参考：官网/集换社：同弹肥瘦配对。本行=肥盒（20张装×6包/盒）。 | 简中宝可梦 朱・紫 星彩晶璃（Stellar Crown）原盒，2026年4月24日发售。每盒含10包，每包含5张卡牌，必出闪卡。</t>
        </is>
      </c>
      <c r="Q13" s="77" t="inlineStr">
        <is>
          <t>a4af2b9b-e2da-4400-b3cc-3063a0892551</t>
        </is>
      </c>
      <c r="R13" s="77" t="inlineStr">
        <is>
          <t>星彩晶璃-简中-slim-box-简中</t>
        </is>
      </c>
      <c r="S13" s="78" t="inlineStr">
        <is>
          <t>Pokemon</t>
        </is>
      </c>
      <c r="T13" s="77" t="inlineStr">
        <is>
          <t>https://pimart-card-production.up.railway.app/products/%E6%98%9F%E5%BD%A9%E6%99%B6%E7%92%83-box-%E7%AE%80%E4%B8%AD</t>
        </is>
      </c>
    </row>
    <row r="14" hidden="1" outlineLevel="1" ht="17" customHeight="1" s="59">
      <c r="A14" s="80" t="inlineStr">
        <is>
          <t>补充包 星彩晶璃 瘦盒 BOX（简中）</t>
        </is>
      </c>
      <c r="B14" s="80" t="inlineStr">
        <is>
          <t>朱・紫 CSV9c</t>
        </is>
      </c>
      <c r="C14" s="81" t="inlineStr">
        <is>
          <t>瘦盒</t>
        </is>
      </c>
      <c r="D14" s="82" t="inlineStr">
        <is>
          <t>散包</t>
        </is>
      </c>
      <c r="E14" s="81" t="inlineStr">
        <is>
          <t>售罄</t>
        </is>
      </c>
      <c r="F14" s="81" t="n"/>
      <c r="G14" s="81" t="n"/>
      <c r="H14" s="81" t="n">
        <v>166.34</v>
      </c>
      <c r="I14" s="81" t="inlineStr">
        <is>
          <t>简中</t>
        </is>
      </c>
      <c r="J14" s="81" t="inlineStr">
        <is>
          <t>否</t>
        </is>
      </c>
      <c r="K14" s="81" t="inlineStr">
        <is>
          <t>是</t>
        </is>
      </c>
      <c r="L14" s="81" t="n">
        <v>6</v>
      </c>
      <c r="M14" s="80" t="inlineStr">
        <is>
          <t>/products/csv9c-slim.png</t>
        </is>
      </c>
      <c r="N14" s="81" t="n"/>
      <c r="O14" s="81" t="inlineStr">
        <is>
          <t>扩充包</t>
        </is>
      </c>
      <c r="P14" s="80" t="inlineStr">
        <is>
          <t>官网/集换社：朱&amp;紫「星彩晶璃」同弹分肥瘦。本行=瘦盒（5张装×15包/盒）。配对另一规格见同弹另一行。 | 参考：官网/集换社：同弹肥瘦配对。本行=肥盒（20张装×6包/盒）。 | 简中宝可梦 朱・紫 星彩晶璃（Stellar Crown）原盒，2026年4月24日发售。每盒含10包，每包含5张卡牌，必出闪卡。</t>
        </is>
      </c>
      <c r="Q14" s="80" t="inlineStr">
        <is>
          <t>a4af2b9b-e2da-4400-b3cc-3063a0892551</t>
        </is>
      </c>
      <c r="R14" s="80" t="inlineStr">
        <is>
          <t>星彩晶璃-简中-slim-box-简中</t>
        </is>
      </c>
      <c r="S14" s="81" t="inlineStr">
        <is>
          <t>Pokemon</t>
        </is>
      </c>
      <c r="T14" s="80" t="inlineStr">
        <is>
          <t>https://pimart-card-production.up.railway.app/products/%E6%98%9F%E5%BD%A9%E6%99%B6%E7%92%83-box-%E7%AE%80%E4%B8%AD</t>
        </is>
      </c>
    </row>
    <row r="15" hidden="1" outlineLevel="1" ht="17" customHeight="1" s="59">
      <c r="A15" s="80" t="inlineStr">
        <is>
          <t>补充包 星彩晶璃 瘦盒 BOX（简中）</t>
        </is>
      </c>
      <c r="B15" s="80" t="inlineStr">
        <is>
          <t>朱・紫 CSV9c</t>
        </is>
      </c>
      <c r="C15" s="81" t="inlineStr">
        <is>
          <t>瘦盒</t>
        </is>
      </c>
      <c r="D15" s="82" t="inlineStr">
        <is>
          <t>原箱</t>
        </is>
      </c>
      <c r="E15" s="81" t="inlineStr">
        <is>
          <t>售罄</t>
        </is>
      </c>
      <c r="F15" s="81" t="n"/>
      <c r="G15" s="81" t="n"/>
      <c r="H15" s="81" t="n">
        <v>166.34</v>
      </c>
      <c r="I15" s="81" t="inlineStr">
        <is>
          <t>简中</t>
        </is>
      </c>
      <c r="J15" s="81" t="inlineStr">
        <is>
          <t>否</t>
        </is>
      </c>
      <c r="K15" s="81" t="inlineStr">
        <is>
          <t>是</t>
        </is>
      </c>
      <c r="L15" s="81" t="n">
        <v>6</v>
      </c>
      <c r="M15" s="80" t="inlineStr">
        <is>
          <t>/products/csv9c-slim.png</t>
        </is>
      </c>
      <c r="N15" s="81" t="n"/>
      <c r="O15" s="81" t="inlineStr">
        <is>
          <t>扩充包</t>
        </is>
      </c>
      <c r="P15" s="80" t="inlineStr">
        <is>
          <t>官网/集换社：朱&amp;紫「星彩晶璃」同弹分肥瘦。本行=瘦盒（5张装×15包/盒）。配对另一规格见同弹另一行。 | 参考：官网/集换社：同弹肥瘦配对。本行=肥盒（20张装×6包/盒）。 | 简中宝可梦 朱・紫 星彩晶璃（Stellar Crown）原盒，2026年4月24日发售。每盒含10包，每包含5张卡牌，必出闪卡。</t>
        </is>
      </c>
      <c r="Q15" s="80" t="inlineStr">
        <is>
          <t>a4af2b9b-e2da-4400-b3cc-3063a0892551</t>
        </is>
      </c>
      <c r="R15" s="80" t="inlineStr">
        <is>
          <t>星彩晶璃-简中-slim-box-简中</t>
        </is>
      </c>
      <c r="S15" s="81" t="inlineStr">
        <is>
          <t>Pokemon</t>
        </is>
      </c>
      <c r="T15" s="80" t="inlineStr">
        <is>
          <t>https://pimart-card-production.up.railway.app/products/%E6%98%9F%E5%BD%A9%E6%99%B6%E7%92%83-box-%E7%AE%80%E4%B8%AD</t>
        </is>
      </c>
    </row>
    <row r="16" collapsed="1" ht="18" customHeight="1" s="59">
      <c r="A16" s="83" t="inlineStr">
        <is>
          <t>补充包 星彩晶璃 肥盒 BOX（简中）</t>
        </is>
      </c>
      <c r="B16" s="83" t="inlineStr">
        <is>
          <t>朱・紫 CSV9c</t>
        </is>
      </c>
      <c r="C16" s="84" t="inlineStr">
        <is>
          <t>肥盒</t>
        </is>
      </c>
      <c r="D16" s="79" t="inlineStr">
        <is>
          <t>原盒</t>
        </is>
      </c>
      <c r="E16" s="84" t="inlineStr">
        <is>
          <t>在售</t>
        </is>
      </c>
      <c r="F16" s="84" t="n">
        <v>20</v>
      </c>
      <c r="G16" s="84" t="n">
        <v>6200</v>
      </c>
      <c r="H16" s="84" t="n">
        <v>166.34</v>
      </c>
      <c r="I16" s="84" t="inlineStr">
        <is>
          <t>简中</t>
        </is>
      </c>
      <c r="J16" s="84" t="inlineStr">
        <is>
          <t>否</t>
        </is>
      </c>
      <c r="K16" s="84" t="inlineStr">
        <is>
          <t>是</t>
        </is>
      </c>
      <c r="L16" s="84" t="n">
        <v>6</v>
      </c>
      <c r="M16" s="83" t="inlineStr">
        <is>
          <t>/products/csv9c-fat.png</t>
        </is>
      </c>
      <c r="N16" s="84" t="n"/>
      <c r="O16" s="84" t="inlineStr">
        <is>
          <t>扩充包</t>
        </is>
      </c>
      <c r="P16" s="83" t="inlineStr">
        <is>
          <t>官网/集换社：同弹肥瘦配对。本行=肥盒（20张装×6包/盒）。 | 简中宝可梦 朱・紫 星彩晶璃（Stellar Crown）原盒，2026年4月24日发售。每盒含10包，每包含5张卡牌，必出闪卡。</t>
        </is>
      </c>
      <c r="Q16" s="83" t="inlineStr">
        <is>
          <t>a4af2b9b-e2da-4400-b3cc-3063a0892551</t>
        </is>
      </c>
      <c r="R16" s="83" t="inlineStr">
        <is>
          <t>星彩晶璃-fat-box-简中</t>
        </is>
      </c>
      <c r="S16" s="84" t="inlineStr">
        <is>
          <t>Pokemon</t>
        </is>
      </c>
      <c r="T16" s="83" t="inlineStr">
        <is>
          <t>https://pimart-card-production.up.railway.app/products/%E6%98%9F%E5%BD%A9%E6%99%B6%E7%92%83-box-%E7%AE%80%E4%B8%AD</t>
        </is>
      </c>
    </row>
    <row r="17" hidden="1" outlineLevel="1" ht="17" customHeight="1" s="59">
      <c r="A17" s="80" t="inlineStr">
        <is>
          <t>补充包 星彩晶璃 肥盒 BOX（简中）</t>
        </is>
      </c>
      <c r="B17" s="80" t="inlineStr">
        <is>
          <t>朱・紫 CSV9c</t>
        </is>
      </c>
      <c r="C17" s="81" t="inlineStr">
        <is>
          <t>肥盒</t>
        </is>
      </c>
      <c r="D17" s="82" t="inlineStr">
        <is>
          <t>散包</t>
        </is>
      </c>
      <c r="E17" s="81" t="inlineStr">
        <is>
          <t>在售</t>
        </is>
      </c>
      <c r="F17" s="81" t="n"/>
      <c r="G17" s="81" t="n"/>
      <c r="H17" s="81" t="n">
        <v>166.34</v>
      </c>
      <c r="I17" s="81" t="inlineStr">
        <is>
          <t>简中</t>
        </is>
      </c>
      <c r="J17" s="81" t="inlineStr">
        <is>
          <t>否</t>
        </is>
      </c>
      <c r="K17" s="81" t="inlineStr">
        <is>
          <t>是</t>
        </is>
      </c>
      <c r="L17" s="81" t="n">
        <v>6</v>
      </c>
      <c r="M17" s="80" t="inlineStr">
        <is>
          <t>/products/csv9c-fat.png</t>
        </is>
      </c>
      <c r="N17" s="81" t="n"/>
      <c r="O17" s="81" t="inlineStr">
        <is>
          <t>扩充包</t>
        </is>
      </c>
      <c r="P17" s="80" t="inlineStr">
        <is>
          <t>官网/集换社：同弹肥瘦配对。本行=肥盒（20张装×6包/盒）。 | 简中宝可梦 朱・紫 星彩晶璃（Stellar Crown）原盒，2026年4月24日发售。每盒含10包，每包含5张卡牌，必出闪卡。</t>
        </is>
      </c>
      <c r="Q17" s="80" t="inlineStr">
        <is>
          <t>a4af2b9b-e2da-4400-b3cc-3063a0892551</t>
        </is>
      </c>
      <c r="R17" s="80" t="inlineStr">
        <is>
          <t>星彩晶璃-fat-box-简中</t>
        </is>
      </c>
      <c r="S17" s="81" t="inlineStr">
        <is>
          <t>Pokemon</t>
        </is>
      </c>
      <c r="T17" s="80" t="inlineStr">
        <is>
          <t>https://pimart-card-production.up.railway.app/products/%E6%98%9F%E5%BD%A9%E6%99%B6%E7%92%83-box-%E7%AE%80%E4%B8%AD</t>
        </is>
      </c>
    </row>
    <row r="18" hidden="1" outlineLevel="1" ht="17" customHeight="1" s="59">
      <c r="A18" s="80" t="inlineStr">
        <is>
          <t>补充包 星彩晶璃 肥盒 BOX（简中）</t>
        </is>
      </c>
      <c r="B18" s="80" t="inlineStr">
        <is>
          <t>朱・紫 CSV9c</t>
        </is>
      </c>
      <c r="C18" s="81" t="inlineStr">
        <is>
          <t>肥盒</t>
        </is>
      </c>
      <c r="D18" s="82" t="inlineStr">
        <is>
          <t>原箱</t>
        </is>
      </c>
      <c r="E18" s="81" t="inlineStr">
        <is>
          <t>在售</t>
        </is>
      </c>
      <c r="F18" s="81" t="n"/>
      <c r="G18" s="81" t="n"/>
      <c r="H18" s="81" t="n">
        <v>166.34</v>
      </c>
      <c r="I18" s="81" t="inlineStr">
        <is>
          <t>简中</t>
        </is>
      </c>
      <c r="J18" s="81" t="inlineStr">
        <is>
          <t>否</t>
        </is>
      </c>
      <c r="K18" s="81" t="inlineStr">
        <is>
          <t>是</t>
        </is>
      </c>
      <c r="L18" s="81" t="n">
        <v>6</v>
      </c>
      <c r="M18" s="80" t="inlineStr">
        <is>
          <t>/products/csv9c-fat.png</t>
        </is>
      </c>
      <c r="N18" s="81" t="n"/>
      <c r="O18" s="81" t="inlineStr">
        <is>
          <t>扩充包</t>
        </is>
      </c>
      <c r="P18" s="80" t="inlineStr">
        <is>
          <t>官网/集换社：同弹肥瘦配对。本行=肥盒（20张装×6包/盒）。 | 简中宝可梦 朱・紫 星彩晶璃（Stellar Crown）原盒，2026年4月24日发售。每盒含10包，每包含5张卡牌，必出闪卡。</t>
        </is>
      </c>
      <c r="Q18" s="80" t="inlineStr">
        <is>
          <t>a4af2b9b-e2da-4400-b3cc-3063a0892551</t>
        </is>
      </c>
      <c r="R18" s="80" t="inlineStr">
        <is>
          <t>星彩晶璃-fat-box-简中</t>
        </is>
      </c>
      <c r="S18" s="81" t="inlineStr">
        <is>
          <t>Pokemon</t>
        </is>
      </c>
      <c r="T18" s="80" t="inlineStr">
        <is>
          <t>https://pimart-card-production.up.railway.app/products/%E6%98%9F%E5%BD%A9%E6%99%B6%E7%92%83-box-%E7%AE%80%E4%B8%AD</t>
        </is>
      </c>
    </row>
    <row r="19" collapsed="1" ht="18" customHeight="1" s="59">
      <c r="A19" s="76" t="inlineStr">
        <is>
          <t xml:space="preserve">  第8弹 · 璀璨诡幻（瘦盒5张装 / 肥盒20张装）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</row>
    <row r="20" collapsed="1" ht="18" customHeight="1" s="59">
      <c r="A20" s="77" t="inlineStr">
        <is>
          <t>补充包 璀璨诡幻 瘦盒 BOX（简中）</t>
        </is>
      </c>
      <c r="B20" s="77" t="inlineStr">
        <is>
          <t>朱・紫 CSV8c</t>
        </is>
      </c>
      <c r="C20" s="78" t="inlineStr">
        <is>
          <t>瘦盒</t>
        </is>
      </c>
      <c r="D20" s="79" t="inlineStr">
        <is>
          <t>原盒</t>
        </is>
      </c>
      <c r="E20" s="78" t="inlineStr">
        <is>
          <t>售罄</t>
        </is>
      </c>
      <c r="F20" s="78" t="n">
        <v>0</v>
      </c>
      <c r="G20" s="78" t="n">
        <v>6000</v>
      </c>
      <c r="H20" s="78" t="n">
        <v>160.98</v>
      </c>
      <c r="I20" s="78" t="inlineStr">
        <is>
          <t>简中</t>
        </is>
      </c>
      <c r="J20" s="78" t="inlineStr">
        <is>
          <t>否</t>
        </is>
      </c>
      <c r="K20" s="78" t="inlineStr">
        <is>
          <t>否</t>
        </is>
      </c>
      <c r="L20" s="78" t="n">
        <v>6</v>
      </c>
      <c r="M20" s="77" t="inlineStr">
        <is>
          <t>/products/csv8c-slim.png</t>
        </is>
      </c>
      <c r="N20" s="78" t="n"/>
      <c r="O20" s="78" t="inlineStr">
        <is>
          <t>扩充包</t>
        </is>
      </c>
      <c r="P20" s="77" t="inlineStr">
        <is>
          <t>官网/集换社：同弹肥瘦配对。本行=瘦盒（5张装×15包/盒）。 | 简中宝可梦 朱&amp;紫 璀璨诡幻（CSV8C）原盒，2026年3月13日发售，每盒30包，每包5张。</t>
        </is>
      </c>
      <c r="Q20" s="77" t="inlineStr">
        <is>
          <t>cmqui01q100044odkmmm85re4</t>
        </is>
      </c>
      <c r="R20" s="77" t="inlineStr">
        <is>
          <t>璀璨诡幻-slim-box-简中</t>
        </is>
      </c>
      <c r="S20" s="78" t="inlineStr">
        <is>
          <t>Pokemon</t>
        </is>
      </c>
      <c r="T20" s="77" t="inlineStr">
        <is>
          <t>https://pimart-card-production.up.railway.app/products/%E7%92%80%E7%92%A8%E8%AF%A1%E5%B9%BB-box-%E7%AE%80%E4%B8%AD</t>
        </is>
      </c>
    </row>
    <row r="21" hidden="1" outlineLevel="1" ht="17" customHeight="1" s="59">
      <c r="A21" s="80" t="inlineStr">
        <is>
          <t>补充包 璀璨诡幻 瘦盒 BOX（简中）</t>
        </is>
      </c>
      <c r="B21" s="80" t="inlineStr">
        <is>
          <t>朱・紫 CSV8c</t>
        </is>
      </c>
      <c r="C21" s="81" t="inlineStr">
        <is>
          <t>瘦盒</t>
        </is>
      </c>
      <c r="D21" s="82" t="inlineStr">
        <is>
          <t>散包</t>
        </is>
      </c>
      <c r="E21" s="81" t="inlineStr">
        <is>
          <t>售罄</t>
        </is>
      </c>
      <c r="F21" s="81" t="n"/>
      <c r="G21" s="81" t="n"/>
      <c r="H21" s="81" t="n">
        <v>160.98</v>
      </c>
      <c r="I21" s="81" t="inlineStr">
        <is>
          <t>简中</t>
        </is>
      </c>
      <c r="J21" s="81" t="inlineStr">
        <is>
          <t>否</t>
        </is>
      </c>
      <c r="K21" s="81" t="inlineStr">
        <is>
          <t>否</t>
        </is>
      </c>
      <c r="L21" s="81" t="n">
        <v>6</v>
      </c>
      <c r="M21" s="80" t="inlineStr">
        <is>
          <t>/products/csv8c-slim.png</t>
        </is>
      </c>
      <c r="N21" s="81" t="n"/>
      <c r="O21" s="81" t="inlineStr">
        <is>
          <t>扩充包</t>
        </is>
      </c>
      <c r="P21" s="80" t="inlineStr">
        <is>
          <t>官网/集换社：同弹肥瘦配对。本行=瘦盒（5张装×15包/盒）。 | 简中宝可梦 朱&amp;紫 璀璨诡幻（CSV8C）原盒，2026年3月13日发售，每盒30包，每包5张。</t>
        </is>
      </c>
      <c r="Q21" s="80" t="inlineStr">
        <is>
          <t>cmqui01q100044odkmmm85re4</t>
        </is>
      </c>
      <c r="R21" s="80" t="inlineStr">
        <is>
          <t>璀璨诡幻-slim-box-简中</t>
        </is>
      </c>
      <c r="S21" s="81" t="inlineStr">
        <is>
          <t>Pokemon</t>
        </is>
      </c>
      <c r="T21" s="80" t="inlineStr">
        <is>
          <t>https://pimart-card-production.up.railway.app/products/%E7%92%80%E7%92%A8%E8%AF%A1%E5%B9%BB-box-%E7%AE%80%E4%B8%AD</t>
        </is>
      </c>
    </row>
    <row r="22" hidden="1" outlineLevel="1" ht="17" customHeight="1" s="59">
      <c r="A22" s="80" t="inlineStr">
        <is>
          <t>补充包 璀璨诡幻 瘦盒 BOX（简中）</t>
        </is>
      </c>
      <c r="B22" s="80" t="inlineStr">
        <is>
          <t>朱・紫 CSV8c</t>
        </is>
      </c>
      <c r="C22" s="81" t="inlineStr">
        <is>
          <t>瘦盒</t>
        </is>
      </c>
      <c r="D22" s="82" t="inlineStr">
        <is>
          <t>原箱</t>
        </is>
      </c>
      <c r="E22" s="81" t="inlineStr">
        <is>
          <t>售罄</t>
        </is>
      </c>
      <c r="F22" s="81" t="n"/>
      <c r="G22" s="81" t="n"/>
      <c r="H22" s="81" t="n">
        <v>160.98</v>
      </c>
      <c r="I22" s="81" t="inlineStr">
        <is>
          <t>简中</t>
        </is>
      </c>
      <c r="J22" s="81" t="inlineStr">
        <is>
          <t>否</t>
        </is>
      </c>
      <c r="K22" s="81" t="inlineStr">
        <is>
          <t>否</t>
        </is>
      </c>
      <c r="L22" s="81" t="n">
        <v>6</v>
      </c>
      <c r="M22" s="80" t="inlineStr">
        <is>
          <t>/products/csv8c-slim.png</t>
        </is>
      </c>
      <c r="N22" s="81" t="n"/>
      <c r="O22" s="81" t="inlineStr">
        <is>
          <t>扩充包</t>
        </is>
      </c>
      <c r="P22" s="80" t="inlineStr">
        <is>
          <t>官网/集换社：同弹肥瘦配对。本行=瘦盒（5张装×15包/盒）。 | 简中宝可梦 朱&amp;紫 璀璨诡幻（CSV8C）原盒，2026年3月13日发售，每盒30包，每包5张。</t>
        </is>
      </c>
      <c r="Q22" s="80" t="inlineStr">
        <is>
          <t>cmqui01q100044odkmmm85re4</t>
        </is>
      </c>
      <c r="R22" s="80" t="inlineStr">
        <is>
          <t>璀璨诡幻-slim-box-简中</t>
        </is>
      </c>
      <c r="S22" s="81" t="inlineStr">
        <is>
          <t>Pokemon</t>
        </is>
      </c>
      <c r="T22" s="80" t="inlineStr">
        <is>
          <t>https://pimart-card-production.up.railway.app/products/%E7%92%80%E7%92%A8%E8%AF%A1%E5%B9%BB-box-%E7%AE%80%E4%B8%AD</t>
        </is>
      </c>
    </row>
    <row r="23" collapsed="1" ht="18" customHeight="1" s="59">
      <c r="A23" s="83" t="inlineStr">
        <is>
          <t>补充包 璀璨诡幻 肥盒 BOX（简中）</t>
        </is>
      </c>
      <c r="B23" s="83" t="inlineStr">
        <is>
          <t>朱・紫 CSV8c</t>
        </is>
      </c>
      <c r="C23" s="84" t="inlineStr">
        <is>
          <t>肥盒</t>
        </is>
      </c>
      <c r="D23" s="79" t="inlineStr">
        <is>
          <t>原盒</t>
        </is>
      </c>
      <c r="E23" s="84" t="inlineStr">
        <is>
          <t>售罄</t>
        </is>
      </c>
      <c r="F23" s="84" t="n">
        <v>0</v>
      </c>
      <c r="G23" s="84" t="n">
        <v>6000</v>
      </c>
      <c r="H23" s="84" t="n">
        <v>160.98</v>
      </c>
      <c r="I23" s="84" t="inlineStr">
        <is>
          <t>简中</t>
        </is>
      </c>
      <c r="J23" s="84" t="inlineStr">
        <is>
          <t>否</t>
        </is>
      </c>
      <c r="K23" s="84" t="inlineStr">
        <is>
          <t>否</t>
        </is>
      </c>
      <c r="L23" s="84" t="n">
        <v>6</v>
      </c>
      <c r="M23" s="83" t="inlineStr">
        <is>
          <t>/products/csv8c-fat.png</t>
        </is>
      </c>
      <c r="N23" s="84" t="n"/>
      <c r="O23" s="84" t="inlineStr">
        <is>
          <t>扩充包</t>
        </is>
      </c>
      <c r="P23" s="83" t="inlineStr">
        <is>
          <t>官网/集换社：朱&amp;紫「璀璨诡幻」同弹分肥瘦。本行=肥盒（20张装×6包/盒）。配对另一规格见同弹另一行。 | 参考：官网/集换社：同弹肥瘦配对。本行=瘦盒（5张装×15包/盒）。 | 简中宝可梦 朱&amp;紫 璀璨诡幻（CSV8C）原盒，2026年3月13日发售，每盒30包，每包5张。</t>
        </is>
      </c>
      <c r="Q23" s="83" t="inlineStr">
        <is>
          <t>cmqui01q100044odkmmm85re4</t>
        </is>
      </c>
      <c r="R23" s="83" t="inlineStr">
        <is>
          <t>璀璨诡幻-简中-fat-box-简中</t>
        </is>
      </c>
      <c r="S23" s="84" t="inlineStr">
        <is>
          <t>Pokemon</t>
        </is>
      </c>
      <c r="T23" s="83" t="inlineStr">
        <is>
          <t>https://pimart-card-production.up.railway.app/products/%E7%92%80%E7%92%A8%E8%AF%A1%E5%B9%BB-box-%E7%AE%80%E4%B8%AD</t>
        </is>
      </c>
    </row>
    <row r="24" hidden="1" outlineLevel="1" ht="17" customHeight="1" s="59">
      <c r="A24" s="80" t="inlineStr">
        <is>
          <t>补充包 璀璨诡幻 肥盒 BOX（简中）</t>
        </is>
      </c>
      <c r="B24" s="80" t="inlineStr">
        <is>
          <t>朱・紫 CSV8c</t>
        </is>
      </c>
      <c r="C24" s="81" t="inlineStr">
        <is>
          <t>肥盒</t>
        </is>
      </c>
      <c r="D24" s="82" t="inlineStr">
        <is>
          <t>散包</t>
        </is>
      </c>
      <c r="E24" s="81" t="inlineStr">
        <is>
          <t>售罄</t>
        </is>
      </c>
      <c r="F24" s="81" t="n"/>
      <c r="G24" s="81" t="n"/>
      <c r="H24" s="81" t="n">
        <v>160.98</v>
      </c>
      <c r="I24" s="81" t="inlineStr">
        <is>
          <t>简中</t>
        </is>
      </c>
      <c r="J24" s="81" t="inlineStr">
        <is>
          <t>否</t>
        </is>
      </c>
      <c r="K24" s="81" t="inlineStr">
        <is>
          <t>否</t>
        </is>
      </c>
      <c r="L24" s="81" t="n">
        <v>6</v>
      </c>
      <c r="M24" s="80" t="inlineStr">
        <is>
          <t>/products/csv8c-fat.png</t>
        </is>
      </c>
      <c r="N24" s="81" t="n"/>
      <c r="O24" s="81" t="inlineStr">
        <is>
          <t>扩充包</t>
        </is>
      </c>
      <c r="P24" s="80" t="inlineStr">
        <is>
          <t>官网/集换社：朱&amp;紫「璀璨诡幻」同弹分肥瘦。本行=肥盒（20张装×6包/盒）。配对另一规格见同弹另一行。 | 参考：官网/集换社：同弹肥瘦配对。本行=瘦盒（5张装×15包/盒）。 | 简中宝可梦 朱&amp;紫 璀璨诡幻（CSV8C）原盒，2026年3月13日发售，每盒30包，每包5张。</t>
        </is>
      </c>
      <c r="Q24" s="80" t="inlineStr">
        <is>
          <t>cmqui01q100044odkmmm85re4</t>
        </is>
      </c>
      <c r="R24" s="80" t="inlineStr">
        <is>
          <t>璀璨诡幻-简中-fat-box-简中</t>
        </is>
      </c>
      <c r="S24" s="81" t="inlineStr">
        <is>
          <t>Pokemon</t>
        </is>
      </c>
      <c r="T24" s="80" t="inlineStr">
        <is>
          <t>https://pimart-card-production.up.railway.app/products/%E7%92%80%E7%92%A8%E8%AF%A1%E5%B9%BB-box-%E7%AE%80%E4%B8%AD</t>
        </is>
      </c>
    </row>
    <row r="25" hidden="1" outlineLevel="1" ht="17" customHeight="1" s="59">
      <c r="A25" s="80" t="inlineStr">
        <is>
          <t>补充包 璀璨诡幻 肥盒 BOX（简中）</t>
        </is>
      </c>
      <c r="B25" s="80" t="inlineStr">
        <is>
          <t>朱・紫 CSV8c</t>
        </is>
      </c>
      <c r="C25" s="81" t="inlineStr">
        <is>
          <t>肥盒</t>
        </is>
      </c>
      <c r="D25" s="82" t="inlineStr">
        <is>
          <t>原箱</t>
        </is>
      </c>
      <c r="E25" s="81" t="inlineStr">
        <is>
          <t>售罄</t>
        </is>
      </c>
      <c r="F25" s="81" t="n"/>
      <c r="G25" s="81" t="n"/>
      <c r="H25" s="81" t="n">
        <v>160.98</v>
      </c>
      <c r="I25" s="81" t="inlineStr">
        <is>
          <t>简中</t>
        </is>
      </c>
      <c r="J25" s="81" t="inlineStr">
        <is>
          <t>否</t>
        </is>
      </c>
      <c r="K25" s="81" t="inlineStr">
        <is>
          <t>否</t>
        </is>
      </c>
      <c r="L25" s="81" t="n">
        <v>6</v>
      </c>
      <c r="M25" s="80" t="inlineStr">
        <is>
          <t>/products/csv8c-fat.png</t>
        </is>
      </c>
      <c r="N25" s="81" t="n"/>
      <c r="O25" s="81" t="inlineStr">
        <is>
          <t>扩充包</t>
        </is>
      </c>
      <c r="P25" s="80" t="inlineStr">
        <is>
          <t>官网/集换社：朱&amp;紫「璀璨诡幻」同弹分肥瘦。本行=肥盒（20张装×6包/盒）。配对另一规格见同弹另一行。 | 参考：官网/集换社：同弹肥瘦配对。本行=瘦盒（5张装×15包/盒）。 | 简中宝可梦 朱&amp;紫 璀璨诡幻（CSV8C）原盒，2026年3月13日发售，每盒30包，每包5张。</t>
        </is>
      </c>
      <c r="Q25" s="80" t="inlineStr">
        <is>
          <t>cmqui01q100044odkmmm85re4</t>
        </is>
      </c>
      <c r="R25" s="80" t="inlineStr">
        <is>
          <t>璀璨诡幻-简中-fat-box-简中</t>
        </is>
      </c>
      <c r="S25" s="81" t="inlineStr">
        <is>
          <t>Pokemon</t>
        </is>
      </c>
      <c r="T25" s="80" t="inlineStr">
        <is>
          <t>https://pimart-card-production.up.railway.app/products/%E7%92%80%E7%92%A8%E8%AF%A1%E5%B9%BB-box-%E7%AE%80%E4%B8%AD</t>
        </is>
      </c>
    </row>
    <row r="26" collapsed="1" ht="18" customHeight="1" s="59">
      <c r="A26" s="76" t="inlineStr">
        <is>
          <t xml:space="preserve">  第7弹 · 利刃猛醒（瘦盒5张装 / 肥盒20张装）</t>
        </is>
      </c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</row>
    <row r="27" collapsed="1" ht="18" customHeight="1" s="59">
      <c r="A27" s="77" t="inlineStr">
        <is>
          <t>补充包 利刃猛醒 瘦盒 BOX（简中）</t>
        </is>
      </c>
      <c r="B27" s="77" t="inlineStr">
        <is>
          <t>朱・紫 CSV7c</t>
        </is>
      </c>
      <c r="C27" s="78" t="inlineStr">
        <is>
          <t>瘦盒</t>
        </is>
      </c>
      <c r="D27" s="79" t="inlineStr">
        <is>
          <t>原盒</t>
        </is>
      </c>
      <c r="E27" s="78" t="inlineStr">
        <is>
          <t>售罄</t>
        </is>
      </c>
      <c r="F27" s="78" t="n">
        <v>0</v>
      </c>
      <c r="G27" s="78" t="n">
        <v>5800</v>
      </c>
      <c r="H27" s="78" t="n">
        <v>155.61</v>
      </c>
      <c r="I27" s="78" t="inlineStr">
        <is>
          <t>简中</t>
        </is>
      </c>
      <c r="J27" s="78" t="inlineStr">
        <is>
          <t>否</t>
        </is>
      </c>
      <c r="K27" s="78" t="inlineStr">
        <is>
          <t>否</t>
        </is>
      </c>
      <c r="L27" s="78" t="n">
        <v>6</v>
      </c>
      <c r="M27" s="77" t="inlineStr">
        <is>
          <t>/products/csv7c-slim.png</t>
        </is>
      </c>
      <c r="N27" s="78" t="n"/>
      <c r="O27" s="78" t="inlineStr">
        <is>
          <t>扩充包</t>
        </is>
      </c>
      <c r="P27" s="77" t="inlineStr">
        <is>
          <t>官网/集换社：朱&amp;紫「利刃猛醒」同弹分肥瘦。本行=瘦盒（5张装×15包/盒）。配对另一规格见同弹另一行。 | 参考：官网/集换社：同弹肥瘦配对。本行=肥盒（20张装×6包/盒）。 | 简中宝可梦 朱・紫 剑刃觉醒（Blade Awakening）原盒，现货发售。</t>
        </is>
      </c>
      <c r="Q27" s="77" t="inlineStr">
        <is>
          <t>470d321e-88ab-4e61-bcb9-94fa1ff06d18</t>
        </is>
      </c>
      <c r="R27" s="77" t="inlineStr">
        <is>
          <t>剑刃觉醒-简中-slim-box-简中</t>
        </is>
      </c>
      <c r="S27" s="78" t="inlineStr">
        <is>
          <t>Pokemon</t>
        </is>
      </c>
      <c r="T27" s="77" t="inlineStr">
        <is>
          <t>https://pimart-card-production.up.railway.app/products/%E5%89%91%E5%88%83%E8%A7%89%E9%86%92-box-%E7%AE%80%E4%B8%AD</t>
        </is>
      </c>
    </row>
    <row r="28" hidden="1" outlineLevel="1" ht="17" customHeight="1" s="59">
      <c r="A28" s="80" t="inlineStr">
        <is>
          <t>补充包 利刃猛醒 瘦盒 BOX（简中）</t>
        </is>
      </c>
      <c r="B28" s="80" t="inlineStr">
        <is>
          <t>朱・紫 CSV7c</t>
        </is>
      </c>
      <c r="C28" s="81" t="inlineStr">
        <is>
          <t>瘦盒</t>
        </is>
      </c>
      <c r="D28" s="82" t="inlineStr">
        <is>
          <t>散包</t>
        </is>
      </c>
      <c r="E28" s="81" t="inlineStr">
        <is>
          <t>售罄</t>
        </is>
      </c>
      <c r="F28" s="81" t="n"/>
      <c r="G28" s="81" t="n"/>
      <c r="H28" s="81" t="n">
        <v>155.61</v>
      </c>
      <c r="I28" s="81" t="inlineStr">
        <is>
          <t>简中</t>
        </is>
      </c>
      <c r="J28" s="81" t="inlineStr">
        <is>
          <t>否</t>
        </is>
      </c>
      <c r="K28" s="81" t="inlineStr">
        <is>
          <t>否</t>
        </is>
      </c>
      <c r="L28" s="81" t="n">
        <v>6</v>
      </c>
      <c r="M28" s="80" t="inlineStr">
        <is>
          <t>/products/csv7c-slim.png</t>
        </is>
      </c>
      <c r="N28" s="81" t="n"/>
      <c r="O28" s="81" t="inlineStr">
        <is>
          <t>扩充包</t>
        </is>
      </c>
      <c r="P28" s="80" t="inlineStr">
        <is>
          <t>官网/集换社：朱&amp;紫「利刃猛醒」同弹分肥瘦。本行=瘦盒（5张装×15包/盒）。配对另一规格见同弹另一行。 | 参考：官网/集换社：同弹肥瘦配对。本行=肥盒（20张装×6包/盒）。 | 简中宝可梦 朱・紫 剑刃觉醒（Blade Awakening）原盒，现货发售。</t>
        </is>
      </c>
      <c r="Q28" s="80" t="inlineStr">
        <is>
          <t>470d321e-88ab-4e61-bcb9-94fa1ff06d18</t>
        </is>
      </c>
      <c r="R28" s="80" t="inlineStr">
        <is>
          <t>剑刃觉醒-简中-slim-box-简中</t>
        </is>
      </c>
      <c r="S28" s="81" t="inlineStr">
        <is>
          <t>Pokemon</t>
        </is>
      </c>
      <c r="T28" s="80" t="inlineStr">
        <is>
          <t>https://pimart-card-production.up.railway.app/products/%E5%89%91%E5%88%83%E8%A7%89%E9%86%92-box-%E7%AE%80%E4%B8%AD</t>
        </is>
      </c>
    </row>
    <row r="29" hidden="1" outlineLevel="1" ht="17" customHeight="1" s="59">
      <c r="A29" s="80" t="inlineStr">
        <is>
          <t>补充包 利刃猛醒 瘦盒 BOX（简中）</t>
        </is>
      </c>
      <c r="B29" s="80" t="inlineStr">
        <is>
          <t>朱・紫 CSV7c</t>
        </is>
      </c>
      <c r="C29" s="81" t="inlineStr">
        <is>
          <t>瘦盒</t>
        </is>
      </c>
      <c r="D29" s="82" t="inlineStr">
        <is>
          <t>原箱</t>
        </is>
      </c>
      <c r="E29" s="81" t="inlineStr">
        <is>
          <t>售罄</t>
        </is>
      </c>
      <c r="F29" s="81" t="n"/>
      <c r="G29" s="81" t="n"/>
      <c r="H29" s="81" t="n">
        <v>155.61</v>
      </c>
      <c r="I29" s="81" t="inlineStr">
        <is>
          <t>简中</t>
        </is>
      </c>
      <c r="J29" s="81" t="inlineStr">
        <is>
          <t>否</t>
        </is>
      </c>
      <c r="K29" s="81" t="inlineStr">
        <is>
          <t>否</t>
        </is>
      </c>
      <c r="L29" s="81" t="n">
        <v>6</v>
      </c>
      <c r="M29" s="80" t="inlineStr">
        <is>
          <t>/products/csv7c-slim.png</t>
        </is>
      </c>
      <c r="N29" s="81" t="n"/>
      <c r="O29" s="81" t="inlineStr">
        <is>
          <t>扩充包</t>
        </is>
      </c>
      <c r="P29" s="80" t="inlineStr">
        <is>
          <t>官网/集换社：朱&amp;紫「利刃猛醒」同弹分肥瘦。本行=瘦盒（5张装×15包/盒）。配对另一规格见同弹另一行。 | 参考：官网/集换社：同弹肥瘦配对。本行=肥盒（20张装×6包/盒）。 | 简中宝可梦 朱・紫 剑刃觉醒（Blade Awakening）原盒，现货发售。</t>
        </is>
      </c>
      <c r="Q29" s="80" t="inlineStr">
        <is>
          <t>470d321e-88ab-4e61-bcb9-94fa1ff06d18</t>
        </is>
      </c>
      <c r="R29" s="80" t="inlineStr">
        <is>
          <t>剑刃觉醒-简中-slim-box-简中</t>
        </is>
      </c>
      <c r="S29" s="81" t="inlineStr">
        <is>
          <t>Pokemon</t>
        </is>
      </c>
      <c r="T29" s="80" t="inlineStr">
        <is>
          <t>https://pimart-card-production.up.railway.app/products/%E5%89%91%E5%88%83%E8%A7%89%E9%86%92-box-%E7%AE%80%E4%B8%AD</t>
        </is>
      </c>
    </row>
    <row r="30" collapsed="1" ht="18" customHeight="1" s="59">
      <c r="A30" s="83" t="inlineStr">
        <is>
          <t>补充包 利刃猛醒 肥盒 BOX（简中）</t>
        </is>
      </c>
      <c r="B30" s="83" t="inlineStr">
        <is>
          <t>朱・紫 CSV7c</t>
        </is>
      </c>
      <c r="C30" s="84" t="inlineStr">
        <is>
          <t>肥盒</t>
        </is>
      </c>
      <c r="D30" s="79" t="inlineStr">
        <is>
          <t>原盒</t>
        </is>
      </c>
      <c r="E30" s="84" t="inlineStr">
        <is>
          <t>在售</t>
        </is>
      </c>
      <c r="F30" s="84" t="n">
        <v>18</v>
      </c>
      <c r="G30" s="84" t="n">
        <v>5800</v>
      </c>
      <c r="H30" s="84" t="n">
        <v>155.61</v>
      </c>
      <c r="I30" s="84" t="inlineStr">
        <is>
          <t>简中</t>
        </is>
      </c>
      <c r="J30" s="84" t="inlineStr">
        <is>
          <t>否</t>
        </is>
      </c>
      <c r="K30" s="84" t="inlineStr">
        <is>
          <t>否</t>
        </is>
      </c>
      <c r="L30" s="84" t="n">
        <v>6</v>
      </c>
      <c r="M30" s="83" t="inlineStr">
        <is>
          <t>/products/csv7c-fat.png</t>
        </is>
      </c>
      <c r="N30" s="84" t="n"/>
      <c r="O30" s="84" t="inlineStr">
        <is>
          <t>扩充包</t>
        </is>
      </c>
      <c r="P30" s="83" t="inlineStr">
        <is>
          <t>官网/集换社：同弹肥瘦配对。本行=肥盒（20张装×6包/盒）。 | 简中宝可梦 朱・紫 剑刃觉醒（Blade Awakening）原盒，现货发售。</t>
        </is>
      </c>
      <c r="Q30" s="83" t="inlineStr">
        <is>
          <t>470d321e-88ab-4e61-bcb9-94fa1ff06d18</t>
        </is>
      </c>
      <c r="R30" s="83" t="inlineStr">
        <is>
          <t>剑刃觉醒-fat-box-简中</t>
        </is>
      </c>
      <c r="S30" s="84" t="inlineStr">
        <is>
          <t>Pokemon</t>
        </is>
      </c>
      <c r="T30" s="83" t="inlineStr">
        <is>
          <t>https://pimart-card-production.up.railway.app/products/%E5%89%91%E5%88%83%E8%A7%89%E9%86%92-box-%E7%AE%80%E4%B8%AD</t>
        </is>
      </c>
    </row>
    <row r="31" hidden="1" outlineLevel="1" ht="17" customHeight="1" s="59">
      <c r="A31" s="80" t="inlineStr">
        <is>
          <t>补充包 利刃猛醒 肥盒 BOX（简中）</t>
        </is>
      </c>
      <c r="B31" s="80" t="inlineStr">
        <is>
          <t>朱・紫 CSV7c</t>
        </is>
      </c>
      <c r="C31" s="81" t="inlineStr">
        <is>
          <t>肥盒</t>
        </is>
      </c>
      <c r="D31" s="82" t="inlineStr">
        <is>
          <t>散包</t>
        </is>
      </c>
      <c r="E31" s="81" t="inlineStr">
        <is>
          <t>在售</t>
        </is>
      </c>
      <c r="F31" s="81" t="n"/>
      <c r="G31" s="81" t="n"/>
      <c r="H31" s="81" t="n">
        <v>155.61</v>
      </c>
      <c r="I31" s="81" t="inlineStr">
        <is>
          <t>简中</t>
        </is>
      </c>
      <c r="J31" s="81" t="inlineStr">
        <is>
          <t>否</t>
        </is>
      </c>
      <c r="K31" s="81" t="inlineStr">
        <is>
          <t>否</t>
        </is>
      </c>
      <c r="L31" s="81" t="n">
        <v>6</v>
      </c>
      <c r="M31" s="80" t="inlineStr">
        <is>
          <t>/products/csv7c-fat.png</t>
        </is>
      </c>
      <c r="N31" s="81" t="n"/>
      <c r="O31" s="81" t="inlineStr">
        <is>
          <t>扩充包</t>
        </is>
      </c>
      <c r="P31" s="80" t="inlineStr">
        <is>
          <t>官网/集换社：同弹肥瘦配对。本行=肥盒（20张装×6包/盒）。 | 简中宝可梦 朱・紫 剑刃觉醒（Blade Awakening）原盒，现货发售。</t>
        </is>
      </c>
      <c r="Q31" s="80" t="inlineStr">
        <is>
          <t>470d321e-88ab-4e61-bcb9-94fa1ff06d18</t>
        </is>
      </c>
      <c r="R31" s="80" t="inlineStr">
        <is>
          <t>剑刃觉醒-fat-box-简中</t>
        </is>
      </c>
      <c r="S31" s="81" t="inlineStr">
        <is>
          <t>Pokemon</t>
        </is>
      </c>
      <c r="T31" s="80" t="inlineStr">
        <is>
          <t>https://pimart-card-production.up.railway.app/products/%E5%89%91%E5%88%83%E8%A7%89%E9%86%92-box-%E7%AE%80%E4%B8%AD</t>
        </is>
      </c>
    </row>
    <row r="32" hidden="1" outlineLevel="1" ht="17" customHeight="1" s="59">
      <c r="A32" s="80" t="inlineStr">
        <is>
          <t>补充包 利刃猛醒 肥盒 BOX（简中）</t>
        </is>
      </c>
      <c r="B32" s="80" t="inlineStr">
        <is>
          <t>朱・紫 CSV7c</t>
        </is>
      </c>
      <c r="C32" s="81" t="inlineStr">
        <is>
          <t>肥盒</t>
        </is>
      </c>
      <c r="D32" s="82" t="inlineStr">
        <is>
          <t>原箱</t>
        </is>
      </c>
      <c r="E32" s="81" t="inlineStr">
        <is>
          <t>在售</t>
        </is>
      </c>
      <c r="F32" s="81" t="n"/>
      <c r="G32" s="81" t="n"/>
      <c r="H32" s="81" t="n">
        <v>155.61</v>
      </c>
      <c r="I32" s="81" t="inlineStr">
        <is>
          <t>简中</t>
        </is>
      </c>
      <c r="J32" s="81" t="inlineStr">
        <is>
          <t>否</t>
        </is>
      </c>
      <c r="K32" s="81" t="inlineStr">
        <is>
          <t>否</t>
        </is>
      </c>
      <c r="L32" s="81" t="n">
        <v>6</v>
      </c>
      <c r="M32" s="80" t="inlineStr">
        <is>
          <t>/products/csv7c-fat.png</t>
        </is>
      </c>
      <c r="N32" s="81" t="n"/>
      <c r="O32" s="81" t="inlineStr">
        <is>
          <t>扩充包</t>
        </is>
      </c>
      <c r="P32" s="80" t="inlineStr">
        <is>
          <t>官网/集换社：同弹肥瘦配对。本行=肥盒（20张装×6包/盒）。 | 简中宝可梦 朱・紫 剑刃觉醒（Blade Awakening）原盒，现货发售。</t>
        </is>
      </c>
      <c r="Q32" s="80" t="inlineStr">
        <is>
          <t>470d321e-88ab-4e61-bcb9-94fa1ff06d18</t>
        </is>
      </c>
      <c r="R32" s="80" t="inlineStr">
        <is>
          <t>剑刃觉醒-fat-box-简中</t>
        </is>
      </c>
      <c r="S32" s="81" t="inlineStr">
        <is>
          <t>Pokemon</t>
        </is>
      </c>
      <c r="T32" s="80" t="inlineStr">
        <is>
          <t>https://pimart-card-production.up.railway.app/products/%E5%89%91%E5%88%83%E8%A7%89%E9%86%92-box-%E7%AE%80%E4%B8%AD</t>
        </is>
      </c>
    </row>
    <row r="33" collapsed="1" ht="18" customHeight="1" s="59">
      <c r="A33" s="76" t="inlineStr">
        <is>
          <t xml:space="preserve">  第6弹 · 真实玄虚（瘦盒5张装 / 肥盒20张装）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</row>
    <row r="34" collapsed="1" ht="18" customHeight="1" s="59">
      <c r="A34" s="77" t="inlineStr">
        <is>
          <t>补充包 真实玄虚 瘦盒 BOX（简中）</t>
        </is>
      </c>
      <c r="B34" s="77" t="inlineStr">
        <is>
          <t>朱・紫 CSV6c</t>
        </is>
      </c>
      <c r="C34" s="78" t="inlineStr">
        <is>
          <t>瘦盒</t>
        </is>
      </c>
      <c r="D34" s="79" t="inlineStr">
        <is>
          <t>原盒</t>
        </is>
      </c>
      <c r="E34" s="78" t="inlineStr">
        <is>
          <t>售罄</t>
        </is>
      </c>
      <c r="F34" s="78" t="n">
        <v>0</v>
      </c>
      <c r="G34" s="78" t="n">
        <v>5600</v>
      </c>
      <c r="H34" s="78" t="n">
        <v>150.24</v>
      </c>
      <c r="I34" s="78" t="inlineStr">
        <is>
          <t>简中</t>
        </is>
      </c>
      <c r="J34" s="78" t="inlineStr">
        <is>
          <t>否</t>
        </is>
      </c>
      <c r="K34" s="78" t="inlineStr">
        <is>
          <t>否</t>
        </is>
      </c>
      <c r="L34" s="78" t="n">
        <v>6</v>
      </c>
      <c r="M34" s="77" t="inlineStr">
        <is>
          <t>/products/csv6c-slim.png</t>
        </is>
      </c>
      <c r="N34" s="78" t="n"/>
      <c r="O34" s="78" t="inlineStr">
        <is>
          <t>扩充包</t>
        </is>
      </c>
      <c r="P34" s="77" t="inlineStr">
        <is>
          <t>官网/集换社：同弹肥瘦配对。本行=瘦盒（5张装×15包/盒）。 | 简中宝可梦 朱&amp;紫 真实玄虚（CSV6C）原盒，2025年11月7日发售，每盒30包，每包5张。</t>
        </is>
      </c>
      <c r="Q34" s="77" t="inlineStr">
        <is>
          <t>cmqui01pw00034odkfh4woe8g</t>
        </is>
      </c>
      <c r="R34" s="77" t="inlineStr">
        <is>
          <t>真实玄虚-slim-box-简中</t>
        </is>
      </c>
      <c r="S34" s="78" t="inlineStr">
        <is>
          <t>Pokemon</t>
        </is>
      </c>
      <c r="T34" s="77" t="inlineStr">
        <is>
          <t>https://pimart-card-production.up.railway.app/products/%E7%9C%9F%E5%AE%9E%E7%8E%84%E8%99%9A-box-%E7%AE%80%E4%B8%AD</t>
        </is>
      </c>
    </row>
    <row r="35" hidden="1" outlineLevel="1" ht="17" customHeight="1" s="59">
      <c r="A35" s="80" t="inlineStr">
        <is>
          <t>补充包 真实玄虚 瘦盒 BOX（简中）</t>
        </is>
      </c>
      <c r="B35" s="80" t="inlineStr">
        <is>
          <t>朱・紫 CSV6c</t>
        </is>
      </c>
      <c r="C35" s="81" t="inlineStr">
        <is>
          <t>瘦盒</t>
        </is>
      </c>
      <c r="D35" s="82" t="inlineStr">
        <is>
          <t>散包</t>
        </is>
      </c>
      <c r="E35" s="81" t="inlineStr">
        <is>
          <t>售罄</t>
        </is>
      </c>
      <c r="F35" s="81" t="n"/>
      <c r="G35" s="81" t="n"/>
      <c r="H35" s="81" t="n">
        <v>150.24</v>
      </c>
      <c r="I35" s="81" t="inlineStr">
        <is>
          <t>简中</t>
        </is>
      </c>
      <c r="J35" s="81" t="inlineStr">
        <is>
          <t>否</t>
        </is>
      </c>
      <c r="K35" s="81" t="inlineStr">
        <is>
          <t>否</t>
        </is>
      </c>
      <c r="L35" s="81" t="n">
        <v>6</v>
      </c>
      <c r="M35" s="80" t="inlineStr">
        <is>
          <t>/products/csv6c-slim.png</t>
        </is>
      </c>
      <c r="N35" s="81" t="n"/>
      <c r="O35" s="81" t="inlineStr">
        <is>
          <t>扩充包</t>
        </is>
      </c>
      <c r="P35" s="80" t="inlineStr">
        <is>
          <t>官网/集换社：同弹肥瘦配对。本行=瘦盒（5张装×15包/盒）。 | 简中宝可梦 朱&amp;紫 真实玄虚（CSV6C）原盒，2025年11月7日发售，每盒30包，每包5张。</t>
        </is>
      </c>
      <c r="Q35" s="80" t="inlineStr">
        <is>
          <t>cmqui01pw00034odkfh4woe8g</t>
        </is>
      </c>
      <c r="R35" s="80" t="inlineStr">
        <is>
          <t>真实玄虚-slim-box-简中</t>
        </is>
      </c>
      <c r="S35" s="81" t="inlineStr">
        <is>
          <t>Pokemon</t>
        </is>
      </c>
      <c r="T35" s="80" t="inlineStr">
        <is>
          <t>https://pimart-card-production.up.railway.app/products/%E7%9C%9F%E5%AE%9E%E7%8E%84%E8%99%9A-box-%E7%AE%80%E4%B8%AD</t>
        </is>
      </c>
    </row>
    <row r="36" hidden="1" outlineLevel="1" ht="17" customHeight="1" s="59">
      <c r="A36" s="80" t="inlineStr">
        <is>
          <t>补充包 真实玄虚 瘦盒 BOX（简中）</t>
        </is>
      </c>
      <c r="B36" s="80" t="inlineStr">
        <is>
          <t>朱・紫 CSV6c</t>
        </is>
      </c>
      <c r="C36" s="81" t="inlineStr">
        <is>
          <t>瘦盒</t>
        </is>
      </c>
      <c r="D36" s="82" t="inlineStr">
        <is>
          <t>原箱</t>
        </is>
      </c>
      <c r="E36" s="81" t="inlineStr">
        <is>
          <t>售罄</t>
        </is>
      </c>
      <c r="F36" s="81" t="n"/>
      <c r="G36" s="81" t="n"/>
      <c r="H36" s="81" t="n">
        <v>150.24</v>
      </c>
      <c r="I36" s="81" t="inlineStr">
        <is>
          <t>简中</t>
        </is>
      </c>
      <c r="J36" s="81" t="inlineStr">
        <is>
          <t>否</t>
        </is>
      </c>
      <c r="K36" s="81" t="inlineStr">
        <is>
          <t>否</t>
        </is>
      </c>
      <c r="L36" s="81" t="n">
        <v>6</v>
      </c>
      <c r="M36" s="80" t="inlineStr">
        <is>
          <t>/products/csv6c-slim.png</t>
        </is>
      </c>
      <c r="N36" s="81" t="n"/>
      <c r="O36" s="81" t="inlineStr">
        <is>
          <t>扩充包</t>
        </is>
      </c>
      <c r="P36" s="80" t="inlineStr">
        <is>
          <t>官网/集换社：同弹肥瘦配对。本行=瘦盒（5张装×15包/盒）。 | 简中宝可梦 朱&amp;紫 真实玄虚（CSV6C）原盒，2025年11月7日发售，每盒30包，每包5张。</t>
        </is>
      </c>
      <c r="Q36" s="80" t="inlineStr">
        <is>
          <t>cmqui01pw00034odkfh4woe8g</t>
        </is>
      </c>
      <c r="R36" s="80" t="inlineStr">
        <is>
          <t>真实玄虚-slim-box-简中</t>
        </is>
      </c>
      <c r="S36" s="81" t="inlineStr">
        <is>
          <t>Pokemon</t>
        </is>
      </c>
      <c r="T36" s="80" t="inlineStr">
        <is>
          <t>https://pimart-card-production.up.railway.app/products/%E7%9C%9F%E5%AE%9E%E7%8E%84%E8%99%9A-box-%E7%AE%80%E4%B8%AD</t>
        </is>
      </c>
    </row>
    <row r="37" collapsed="1" ht="18" customHeight="1" s="59">
      <c r="A37" s="83" t="inlineStr">
        <is>
          <t>补充包 真实玄虚 肥盒 BOX（简中）</t>
        </is>
      </c>
      <c r="B37" s="83" t="inlineStr">
        <is>
          <t>朱・紫 CSV6c</t>
        </is>
      </c>
      <c r="C37" s="84" t="inlineStr">
        <is>
          <t>肥盒</t>
        </is>
      </c>
      <c r="D37" s="79" t="inlineStr">
        <is>
          <t>原盒</t>
        </is>
      </c>
      <c r="E37" s="84" t="inlineStr">
        <is>
          <t>售罄</t>
        </is>
      </c>
      <c r="F37" s="84" t="n">
        <v>0</v>
      </c>
      <c r="G37" s="84" t="n">
        <v>5600</v>
      </c>
      <c r="H37" s="84" t="n">
        <v>150.24</v>
      </c>
      <c r="I37" s="84" t="inlineStr">
        <is>
          <t>简中</t>
        </is>
      </c>
      <c r="J37" s="84" t="inlineStr">
        <is>
          <t>否</t>
        </is>
      </c>
      <c r="K37" s="84" t="inlineStr">
        <is>
          <t>否</t>
        </is>
      </c>
      <c r="L37" s="84" t="n">
        <v>6</v>
      </c>
      <c r="M37" s="83" t="inlineStr">
        <is>
          <t>/products/csv6c-fat.png</t>
        </is>
      </c>
      <c r="N37" s="84" t="n"/>
      <c r="O37" s="84" t="inlineStr">
        <is>
          <t>扩充包</t>
        </is>
      </c>
      <c r="P37" s="83" t="inlineStr">
        <is>
          <t>官网/集换社：朱&amp;紫「真实玄虚」同弹分肥瘦。本行=肥盒（20张装×6包/盒）。配对另一规格见同弹另一行。 | 参考：官网/集换社：同弹肥瘦配对。本行=瘦盒（5张装×15包/盒）。 | 简中宝可梦 朱&amp;紫 真实玄虚（CSV6C）原盒，2025年11月7日发售，每盒30包，每包5张。</t>
        </is>
      </c>
      <c r="Q37" s="83" t="inlineStr">
        <is>
          <t>cmqui01pw00034odkfh4woe8g</t>
        </is>
      </c>
      <c r="R37" s="83" t="inlineStr">
        <is>
          <t>真实玄虚-简中-fat-box-简中</t>
        </is>
      </c>
      <c r="S37" s="84" t="inlineStr">
        <is>
          <t>Pokemon</t>
        </is>
      </c>
      <c r="T37" s="83" t="inlineStr">
        <is>
          <t>https://pimart-card-production.up.railway.app/products/%E7%9C%9F%E5%AE%9E%E7%8E%84%E8%99%9A-box-%E7%AE%80%E4%B8%AD</t>
        </is>
      </c>
    </row>
    <row r="38" hidden="1" outlineLevel="1" ht="17" customHeight="1" s="59">
      <c r="A38" s="80" t="inlineStr">
        <is>
          <t>补充包 真实玄虚 肥盒 BOX（简中）</t>
        </is>
      </c>
      <c r="B38" s="80" t="inlineStr">
        <is>
          <t>朱・紫 CSV6c</t>
        </is>
      </c>
      <c r="C38" s="81" t="inlineStr">
        <is>
          <t>肥盒</t>
        </is>
      </c>
      <c r="D38" s="82" t="inlineStr">
        <is>
          <t>散包</t>
        </is>
      </c>
      <c r="E38" s="81" t="inlineStr">
        <is>
          <t>售罄</t>
        </is>
      </c>
      <c r="F38" s="81" t="n"/>
      <c r="G38" s="81" t="n"/>
      <c r="H38" s="81" t="n">
        <v>150.24</v>
      </c>
      <c r="I38" s="81" t="inlineStr">
        <is>
          <t>简中</t>
        </is>
      </c>
      <c r="J38" s="81" t="inlineStr">
        <is>
          <t>否</t>
        </is>
      </c>
      <c r="K38" s="81" t="inlineStr">
        <is>
          <t>否</t>
        </is>
      </c>
      <c r="L38" s="81" t="n">
        <v>6</v>
      </c>
      <c r="M38" s="80" t="inlineStr">
        <is>
          <t>/products/csv6c-fat.png</t>
        </is>
      </c>
      <c r="N38" s="81" t="n"/>
      <c r="O38" s="81" t="inlineStr">
        <is>
          <t>扩充包</t>
        </is>
      </c>
      <c r="P38" s="80" t="inlineStr">
        <is>
          <t>官网/集换社：朱&amp;紫「真实玄虚」同弹分肥瘦。本行=肥盒（20张装×6包/盒）。配对另一规格见同弹另一行。 | 参考：官网/集换社：同弹肥瘦配对。本行=瘦盒（5张装×15包/盒）。 | 简中宝可梦 朱&amp;紫 真实玄虚（CSV6C）原盒，2025年11月7日发售，每盒30包，每包5张。</t>
        </is>
      </c>
      <c r="Q38" s="80" t="inlineStr">
        <is>
          <t>cmqui01pw00034odkfh4woe8g</t>
        </is>
      </c>
      <c r="R38" s="80" t="inlineStr">
        <is>
          <t>真实玄虚-简中-fat-box-简中</t>
        </is>
      </c>
      <c r="S38" s="81" t="inlineStr">
        <is>
          <t>Pokemon</t>
        </is>
      </c>
      <c r="T38" s="80" t="inlineStr">
        <is>
          <t>https://pimart-card-production.up.railway.app/products/%E7%9C%9F%E5%AE%9E%E7%8E%84%E8%99%9A-box-%E7%AE%80%E4%B8%AD</t>
        </is>
      </c>
    </row>
    <row r="39" hidden="1" outlineLevel="1" ht="17" customHeight="1" s="59">
      <c r="A39" s="80" t="inlineStr">
        <is>
          <t>补充包 真实玄虚 肥盒 BOX（简中）</t>
        </is>
      </c>
      <c r="B39" s="80" t="inlineStr">
        <is>
          <t>朱・紫 CSV6c</t>
        </is>
      </c>
      <c r="C39" s="81" t="inlineStr">
        <is>
          <t>肥盒</t>
        </is>
      </c>
      <c r="D39" s="82" t="inlineStr">
        <is>
          <t>原箱</t>
        </is>
      </c>
      <c r="E39" s="81" t="inlineStr">
        <is>
          <t>售罄</t>
        </is>
      </c>
      <c r="F39" s="81" t="n"/>
      <c r="G39" s="81" t="n"/>
      <c r="H39" s="81" t="n">
        <v>150.24</v>
      </c>
      <c r="I39" s="81" t="inlineStr">
        <is>
          <t>简中</t>
        </is>
      </c>
      <c r="J39" s="81" t="inlineStr">
        <is>
          <t>否</t>
        </is>
      </c>
      <c r="K39" s="81" t="inlineStr">
        <is>
          <t>否</t>
        </is>
      </c>
      <c r="L39" s="81" t="n">
        <v>6</v>
      </c>
      <c r="M39" s="80" t="inlineStr">
        <is>
          <t>/products/csv6c-fat.png</t>
        </is>
      </c>
      <c r="N39" s="81" t="n"/>
      <c r="O39" s="81" t="inlineStr">
        <is>
          <t>扩充包</t>
        </is>
      </c>
      <c r="P39" s="80" t="inlineStr">
        <is>
          <t>官网/集换社：朱&amp;紫「真实玄虚」同弹分肥瘦。本行=肥盒（20张装×6包/盒）。配对另一规格见同弹另一行。 | 参考：官网/集换社：同弹肥瘦配对。本行=瘦盒（5张装×15包/盒）。 | 简中宝可梦 朱&amp;紫 真实玄虚（CSV6C）原盒，2025年11月7日发售，每盒30包，每包5张。</t>
        </is>
      </c>
      <c r="Q39" s="80" t="inlineStr">
        <is>
          <t>cmqui01pw00034odkfh4woe8g</t>
        </is>
      </c>
      <c r="R39" s="80" t="inlineStr">
        <is>
          <t>真实玄虚-简中-fat-box-简中</t>
        </is>
      </c>
      <c r="S39" s="81" t="inlineStr">
        <is>
          <t>Pokemon</t>
        </is>
      </c>
      <c r="T39" s="80" t="inlineStr">
        <is>
          <t>https://pimart-card-production.up.railway.app/products/%E7%9C%9F%E5%AE%9E%E7%8E%84%E8%99%9A-box-%E7%AE%80%E4%B8%AD</t>
        </is>
      </c>
    </row>
    <row r="40" collapsed="1" ht="18" customHeight="1" s="59">
      <c r="A40" s="76" t="inlineStr">
        <is>
          <t xml:space="preserve">  第5弹 · 黑晶炽诚（瘦盒5张装 / 肥盒20张装）</t>
        </is>
      </c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</row>
    <row r="41" collapsed="1" ht="18" customHeight="1" s="59">
      <c r="A41" s="77" t="inlineStr">
        <is>
          <t>补充包 黑晶炽诚 瘦盒 BOX（简中）</t>
        </is>
      </c>
      <c r="B41" s="77" t="inlineStr">
        <is>
          <t>朱・紫 CSV5c</t>
        </is>
      </c>
      <c r="C41" s="78" t="inlineStr">
        <is>
          <t>瘦盒</t>
        </is>
      </c>
      <c r="D41" s="79" t="inlineStr">
        <is>
          <t>原盒</t>
        </is>
      </c>
      <c r="E41" s="78" t="inlineStr">
        <is>
          <t>售罄</t>
        </is>
      </c>
      <c r="F41" s="78" t="n">
        <v>0</v>
      </c>
      <c r="G41" s="78" t="n">
        <v>5500</v>
      </c>
      <c r="H41" s="78" t="n">
        <v>147.56</v>
      </c>
      <c r="I41" s="78" t="inlineStr">
        <is>
          <t>简中</t>
        </is>
      </c>
      <c r="J41" s="78" t="inlineStr">
        <is>
          <t>否</t>
        </is>
      </c>
      <c r="K41" s="78" t="inlineStr">
        <is>
          <t>否</t>
        </is>
      </c>
      <c r="L41" s="78" t="n">
        <v>6</v>
      </c>
      <c r="M41" s="77" t="inlineStr">
        <is>
          <t>/products/csv5c-slim.png</t>
        </is>
      </c>
      <c r="N41" s="78" t="n"/>
      <c r="O41" s="78" t="inlineStr">
        <is>
          <t>扩充包</t>
        </is>
      </c>
      <c r="P41" s="77" t="inlineStr">
        <is>
          <t>官网/集换社：朱&amp;紫「黑晶炽诚」同弹分肥瘦。本行=瘦盒（5张装×15包/盒）。配对另一规格见同弹另一行。 | 参考：官网/集换社：同弹肥瘦配对。本行=肥盒（20张装×6包/盒）。 | 简中宝可梦 朱・紫 黑晶炽焰（Black Crystal Blaze）原盒，现货发售。</t>
        </is>
      </c>
      <c r="Q41" s="77" t="inlineStr">
        <is>
          <t>c1fc8f48-9440-4ea9-94be-d58b04bd5884</t>
        </is>
      </c>
      <c r="R41" s="77" t="inlineStr">
        <is>
          <t>黑晶炽焰-简中-slim-box-简中</t>
        </is>
      </c>
      <c r="S41" s="78" t="inlineStr">
        <is>
          <t>Pokemon</t>
        </is>
      </c>
      <c r="T41" s="77" t="inlineStr">
        <is>
          <t>https://pimart-card-production.up.railway.app/products/%E9%BB%91%E6%99%B6%E7%82%BD%E7%84%B0-box-%E7%AE%80%E4%B8%AD</t>
        </is>
      </c>
    </row>
    <row r="42" hidden="1" outlineLevel="1" ht="17" customHeight="1" s="59">
      <c r="A42" s="80" t="inlineStr">
        <is>
          <t>补充包 黑晶炽诚 瘦盒 BOX（简中）</t>
        </is>
      </c>
      <c r="B42" s="80" t="inlineStr">
        <is>
          <t>朱・紫 CSV5c</t>
        </is>
      </c>
      <c r="C42" s="81" t="inlineStr">
        <is>
          <t>瘦盒</t>
        </is>
      </c>
      <c r="D42" s="82" t="inlineStr">
        <is>
          <t>散包</t>
        </is>
      </c>
      <c r="E42" s="81" t="inlineStr">
        <is>
          <t>售罄</t>
        </is>
      </c>
      <c r="F42" s="81" t="n"/>
      <c r="G42" s="81" t="n"/>
      <c r="H42" s="81" t="n">
        <v>147.56</v>
      </c>
      <c r="I42" s="81" t="inlineStr">
        <is>
          <t>简中</t>
        </is>
      </c>
      <c r="J42" s="81" t="inlineStr">
        <is>
          <t>否</t>
        </is>
      </c>
      <c r="K42" s="81" t="inlineStr">
        <is>
          <t>否</t>
        </is>
      </c>
      <c r="L42" s="81" t="n">
        <v>6</v>
      </c>
      <c r="M42" s="80" t="inlineStr">
        <is>
          <t>/products/csv5c-slim.png</t>
        </is>
      </c>
      <c r="N42" s="81" t="n"/>
      <c r="O42" s="81" t="inlineStr">
        <is>
          <t>扩充包</t>
        </is>
      </c>
      <c r="P42" s="80" t="inlineStr">
        <is>
          <t>官网/集换社：朱&amp;紫「黑晶炽诚」同弹分肥瘦。本行=瘦盒（5张装×15包/盒）。配对另一规格见同弹另一行。 | 参考：官网/集换社：同弹肥瘦配对。本行=肥盒（20张装×6包/盒）。 | 简中宝可梦 朱・紫 黑晶炽焰（Black Crystal Blaze）原盒，现货发售。</t>
        </is>
      </c>
      <c r="Q42" s="80" t="inlineStr">
        <is>
          <t>c1fc8f48-9440-4ea9-94be-d58b04bd5884</t>
        </is>
      </c>
      <c r="R42" s="80" t="inlineStr">
        <is>
          <t>黑晶炽焰-简中-slim-box-简中</t>
        </is>
      </c>
      <c r="S42" s="81" t="inlineStr">
        <is>
          <t>Pokemon</t>
        </is>
      </c>
      <c r="T42" s="80" t="inlineStr">
        <is>
          <t>https://pimart-card-production.up.railway.app/products/%E9%BB%91%E6%99%B6%E7%82%BD%E7%84%B0-box-%E7%AE%80%E4%B8%AD</t>
        </is>
      </c>
    </row>
    <row r="43" hidden="1" outlineLevel="1" ht="17" customHeight="1" s="59">
      <c r="A43" s="80" t="inlineStr">
        <is>
          <t>补充包 黑晶炽诚 瘦盒 BOX（简中）</t>
        </is>
      </c>
      <c r="B43" s="80" t="inlineStr">
        <is>
          <t>朱・紫 CSV5c</t>
        </is>
      </c>
      <c r="C43" s="81" t="inlineStr">
        <is>
          <t>瘦盒</t>
        </is>
      </c>
      <c r="D43" s="82" t="inlineStr">
        <is>
          <t>原箱</t>
        </is>
      </c>
      <c r="E43" s="81" t="inlineStr">
        <is>
          <t>售罄</t>
        </is>
      </c>
      <c r="F43" s="81" t="n"/>
      <c r="G43" s="81" t="n"/>
      <c r="H43" s="81" t="n">
        <v>147.56</v>
      </c>
      <c r="I43" s="81" t="inlineStr">
        <is>
          <t>简中</t>
        </is>
      </c>
      <c r="J43" s="81" t="inlineStr">
        <is>
          <t>否</t>
        </is>
      </c>
      <c r="K43" s="81" t="inlineStr">
        <is>
          <t>否</t>
        </is>
      </c>
      <c r="L43" s="81" t="n">
        <v>6</v>
      </c>
      <c r="M43" s="80" t="inlineStr">
        <is>
          <t>/products/csv5c-slim.png</t>
        </is>
      </c>
      <c r="N43" s="81" t="n"/>
      <c r="O43" s="81" t="inlineStr">
        <is>
          <t>扩充包</t>
        </is>
      </c>
      <c r="P43" s="80" t="inlineStr">
        <is>
          <t>官网/集换社：朱&amp;紫「黑晶炽诚」同弹分肥瘦。本行=瘦盒（5张装×15包/盒）。配对另一规格见同弹另一行。 | 参考：官网/集换社：同弹肥瘦配对。本行=肥盒（20张装×6包/盒）。 | 简中宝可梦 朱・紫 黑晶炽焰（Black Crystal Blaze）原盒，现货发售。</t>
        </is>
      </c>
      <c r="Q43" s="80" t="inlineStr">
        <is>
          <t>c1fc8f48-9440-4ea9-94be-d58b04bd5884</t>
        </is>
      </c>
      <c r="R43" s="80" t="inlineStr">
        <is>
          <t>黑晶炽焰-简中-slim-box-简中</t>
        </is>
      </c>
      <c r="S43" s="81" t="inlineStr">
        <is>
          <t>Pokemon</t>
        </is>
      </c>
      <c r="T43" s="80" t="inlineStr">
        <is>
          <t>https://pimart-card-production.up.railway.app/products/%E9%BB%91%E6%99%B6%E7%82%BD%E7%84%B0-box-%E7%AE%80%E4%B8%AD</t>
        </is>
      </c>
    </row>
    <row r="44" collapsed="1" ht="18" customHeight="1" s="59">
      <c r="A44" s="83" t="inlineStr">
        <is>
          <t>补充包 黑晶炽诚 肥盒 BOX（简中）</t>
        </is>
      </c>
      <c r="B44" s="83" t="inlineStr">
        <is>
          <t>朱・紫 CSV5c</t>
        </is>
      </c>
      <c r="C44" s="84" t="inlineStr">
        <is>
          <t>肥盒</t>
        </is>
      </c>
      <c r="D44" s="79" t="inlineStr">
        <is>
          <t>原盒</t>
        </is>
      </c>
      <c r="E44" s="84" t="inlineStr">
        <is>
          <t>在售</t>
        </is>
      </c>
      <c r="F44" s="84" t="n">
        <v>15</v>
      </c>
      <c r="G44" s="84" t="n">
        <v>5500</v>
      </c>
      <c r="H44" s="84" t="n">
        <v>147.56</v>
      </c>
      <c r="I44" s="84" t="inlineStr">
        <is>
          <t>简中</t>
        </is>
      </c>
      <c r="J44" s="84" t="inlineStr">
        <is>
          <t>否</t>
        </is>
      </c>
      <c r="K44" s="84" t="inlineStr">
        <is>
          <t>否</t>
        </is>
      </c>
      <c r="L44" s="84" t="n">
        <v>6</v>
      </c>
      <c r="M44" s="83" t="inlineStr">
        <is>
          <t>/products/csv5c-fat.png</t>
        </is>
      </c>
      <c r="N44" s="84" t="n"/>
      <c r="O44" s="84" t="inlineStr">
        <is>
          <t>扩充包</t>
        </is>
      </c>
      <c r="P44" s="83" t="inlineStr">
        <is>
          <t>官网/集换社：同弹肥瘦配对。本行=肥盒（20张装×6包/盒）。 | 简中宝可梦 朱・紫 黑晶炽焰（Black Crystal Blaze）原盒，现货发售。</t>
        </is>
      </c>
      <c r="Q44" s="83" t="inlineStr">
        <is>
          <t>c1fc8f48-9440-4ea9-94be-d58b04bd5884</t>
        </is>
      </c>
      <c r="R44" s="83" t="inlineStr">
        <is>
          <t>黑晶炽焰-fat-box-简中</t>
        </is>
      </c>
      <c r="S44" s="84" t="inlineStr">
        <is>
          <t>Pokemon</t>
        </is>
      </c>
      <c r="T44" s="83" t="inlineStr">
        <is>
          <t>https://pimart-card-production.up.railway.app/products/%E9%BB%91%E6%99%B6%E7%82%BD%E7%84%B0-box-%E7%AE%80%E4%B8%AD</t>
        </is>
      </c>
    </row>
    <row r="45" hidden="1" outlineLevel="1" ht="17" customHeight="1" s="59">
      <c r="A45" s="80" t="inlineStr">
        <is>
          <t>补充包 黑晶炽诚 肥盒 BOX（简中）</t>
        </is>
      </c>
      <c r="B45" s="80" t="inlineStr">
        <is>
          <t>朱・紫 CSV5c</t>
        </is>
      </c>
      <c r="C45" s="81" t="inlineStr">
        <is>
          <t>肥盒</t>
        </is>
      </c>
      <c r="D45" s="82" t="inlineStr">
        <is>
          <t>散包</t>
        </is>
      </c>
      <c r="E45" s="81" t="inlineStr">
        <is>
          <t>在售</t>
        </is>
      </c>
      <c r="F45" s="81" t="n"/>
      <c r="G45" s="81" t="n"/>
      <c r="H45" s="81" t="n">
        <v>147.56</v>
      </c>
      <c r="I45" s="81" t="inlineStr">
        <is>
          <t>简中</t>
        </is>
      </c>
      <c r="J45" s="81" t="inlineStr">
        <is>
          <t>否</t>
        </is>
      </c>
      <c r="K45" s="81" t="inlineStr">
        <is>
          <t>否</t>
        </is>
      </c>
      <c r="L45" s="81" t="n">
        <v>6</v>
      </c>
      <c r="M45" s="80" t="inlineStr">
        <is>
          <t>/products/csv5c-fat.png</t>
        </is>
      </c>
      <c r="N45" s="81" t="n"/>
      <c r="O45" s="81" t="inlineStr">
        <is>
          <t>扩充包</t>
        </is>
      </c>
      <c r="P45" s="80" t="inlineStr">
        <is>
          <t>官网/集换社：同弹肥瘦配对。本行=肥盒（20张装×6包/盒）。 | 简中宝可梦 朱・紫 黑晶炽焰（Black Crystal Blaze）原盒，现货发售。</t>
        </is>
      </c>
      <c r="Q45" s="80" t="inlineStr">
        <is>
          <t>c1fc8f48-9440-4ea9-94be-d58b04bd5884</t>
        </is>
      </c>
      <c r="R45" s="80" t="inlineStr">
        <is>
          <t>黑晶炽焰-fat-box-简中</t>
        </is>
      </c>
      <c r="S45" s="81" t="inlineStr">
        <is>
          <t>Pokemon</t>
        </is>
      </c>
      <c r="T45" s="80" t="inlineStr">
        <is>
          <t>https://pimart-card-production.up.railway.app/products/%E9%BB%91%E6%99%B6%E7%82%BD%E7%84%B0-box-%E7%AE%80%E4%B8%AD</t>
        </is>
      </c>
    </row>
    <row r="46" hidden="1" outlineLevel="1" ht="17" customHeight="1" s="59">
      <c r="A46" s="80" t="inlineStr">
        <is>
          <t>补充包 黑晶炽诚 肥盒 BOX（简中）</t>
        </is>
      </c>
      <c r="B46" s="80" t="inlineStr">
        <is>
          <t>朱・紫 CSV5c</t>
        </is>
      </c>
      <c r="C46" s="81" t="inlineStr">
        <is>
          <t>肥盒</t>
        </is>
      </c>
      <c r="D46" s="82" t="inlineStr">
        <is>
          <t>原箱</t>
        </is>
      </c>
      <c r="E46" s="81" t="inlineStr">
        <is>
          <t>在售</t>
        </is>
      </c>
      <c r="F46" s="81" t="n"/>
      <c r="G46" s="81" t="n"/>
      <c r="H46" s="81" t="n">
        <v>147.56</v>
      </c>
      <c r="I46" s="81" t="inlineStr">
        <is>
          <t>简中</t>
        </is>
      </c>
      <c r="J46" s="81" t="inlineStr">
        <is>
          <t>否</t>
        </is>
      </c>
      <c r="K46" s="81" t="inlineStr">
        <is>
          <t>否</t>
        </is>
      </c>
      <c r="L46" s="81" t="n">
        <v>6</v>
      </c>
      <c r="M46" s="80" t="inlineStr">
        <is>
          <t>/products/csv5c-fat.png</t>
        </is>
      </c>
      <c r="N46" s="81" t="n"/>
      <c r="O46" s="81" t="inlineStr">
        <is>
          <t>扩充包</t>
        </is>
      </c>
      <c r="P46" s="80" t="inlineStr">
        <is>
          <t>官网/集换社：同弹肥瘦配对。本行=肥盒（20张装×6包/盒）。 | 简中宝可梦 朱・紫 黑晶炽焰（Black Crystal Blaze）原盒，现货发售。</t>
        </is>
      </c>
      <c r="Q46" s="80" t="inlineStr">
        <is>
          <t>c1fc8f48-9440-4ea9-94be-d58b04bd5884</t>
        </is>
      </c>
      <c r="R46" s="80" t="inlineStr">
        <is>
          <t>黑晶炽焰-fat-box-简中</t>
        </is>
      </c>
      <c r="S46" s="81" t="inlineStr">
        <is>
          <t>Pokemon</t>
        </is>
      </c>
      <c r="T46" s="80" t="inlineStr">
        <is>
          <t>https://pimart-card-production.up.railway.app/products/%E9%BB%91%E6%99%B6%E7%82%BD%E7%84%B0-box-%E7%AE%80%E4%B8%AD</t>
        </is>
      </c>
    </row>
    <row r="47" collapsed="1" ht="18" customHeight="1" s="59">
      <c r="A47" s="76" t="inlineStr">
        <is>
          <t xml:space="preserve">  第4弹 · 嘉奖回合（瘦盒5张装 / 肥盒20张装）</t>
        </is>
      </c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</row>
    <row r="48" collapsed="1" ht="18" customHeight="1" s="59">
      <c r="A48" s="77" t="inlineStr">
        <is>
          <t>补充包 嘉奖回合 瘦盒 BOX（简中）</t>
        </is>
      </c>
      <c r="B48" s="77" t="inlineStr">
        <is>
          <t>朱・紫 CSV4c</t>
        </is>
      </c>
      <c r="C48" s="78" t="inlineStr">
        <is>
          <t>瘦盒</t>
        </is>
      </c>
      <c r="D48" s="79" t="inlineStr">
        <is>
          <t>原盒</t>
        </is>
      </c>
      <c r="E48" s="78" t="inlineStr">
        <is>
          <t>售罄</t>
        </is>
      </c>
      <c r="F48" s="78" t="n">
        <v>0</v>
      </c>
      <c r="G48" s="78" t="n">
        <v>5200</v>
      </c>
      <c r="H48" s="78" t="n">
        <v>139.51</v>
      </c>
      <c r="I48" s="78" t="inlineStr">
        <is>
          <t>简中</t>
        </is>
      </c>
      <c r="J48" s="78" t="inlineStr">
        <is>
          <t>否</t>
        </is>
      </c>
      <c r="K48" s="78" t="inlineStr">
        <is>
          <t>否</t>
        </is>
      </c>
      <c r="L48" s="78" t="n">
        <v>6</v>
      </c>
      <c r="M48" s="77" t="inlineStr">
        <is>
          <t>/products/csv4c-slim.png</t>
        </is>
      </c>
      <c r="N48" s="78" t="n"/>
      <c r="O48" s="78" t="inlineStr">
        <is>
          <t>扩充包</t>
        </is>
      </c>
      <c r="P48" s="77" t="inlineStr">
        <is>
          <t>官网/集换社：同弹肥瘦配对。本行=瘦盒（5张装×15包/盒）。 | 简中宝可梦 朱&amp;紫 嘉奖回合（CSV4C）原盒，2025年7月18日发售，每盒30包，每包5张。</t>
        </is>
      </c>
      <c r="Q48" s="77" t="inlineStr">
        <is>
          <t>cmqui01pr00024odkpyf93vhq</t>
        </is>
      </c>
      <c r="R48" s="77" t="inlineStr">
        <is>
          <t>嘉奖回合-slim-box-简中</t>
        </is>
      </c>
      <c r="S48" s="78" t="inlineStr">
        <is>
          <t>Pokemon</t>
        </is>
      </c>
      <c r="T48" s="77" t="inlineStr">
        <is>
          <t>https://pimart-card-production.up.railway.app/products/%E5%98%89%E5%A5%96%E5%9B%9E%E5%90%88-box-%E7%AE%80%E4%B8%AD</t>
        </is>
      </c>
    </row>
    <row r="49" hidden="1" outlineLevel="1" ht="17" customHeight="1" s="59">
      <c r="A49" s="80" t="inlineStr">
        <is>
          <t>补充包 嘉奖回合 瘦盒 BOX（简中）</t>
        </is>
      </c>
      <c r="B49" s="80" t="inlineStr">
        <is>
          <t>朱・紫 CSV4c</t>
        </is>
      </c>
      <c r="C49" s="81" t="inlineStr">
        <is>
          <t>瘦盒</t>
        </is>
      </c>
      <c r="D49" s="82" t="inlineStr">
        <is>
          <t>散包</t>
        </is>
      </c>
      <c r="E49" s="81" t="inlineStr">
        <is>
          <t>售罄</t>
        </is>
      </c>
      <c r="F49" s="81" t="n"/>
      <c r="G49" s="81" t="n"/>
      <c r="H49" s="81" t="n">
        <v>139.51</v>
      </c>
      <c r="I49" s="81" t="inlineStr">
        <is>
          <t>简中</t>
        </is>
      </c>
      <c r="J49" s="81" t="inlineStr">
        <is>
          <t>否</t>
        </is>
      </c>
      <c r="K49" s="81" t="inlineStr">
        <is>
          <t>否</t>
        </is>
      </c>
      <c r="L49" s="81" t="n">
        <v>6</v>
      </c>
      <c r="M49" s="80" t="inlineStr">
        <is>
          <t>/products/csv4c-slim.png</t>
        </is>
      </c>
      <c r="N49" s="81" t="n"/>
      <c r="O49" s="81" t="inlineStr">
        <is>
          <t>扩充包</t>
        </is>
      </c>
      <c r="P49" s="80" t="inlineStr">
        <is>
          <t>官网/集换社：同弹肥瘦配对。本行=瘦盒（5张装×15包/盒）。 | 简中宝可梦 朱&amp;紫 嘉奖回合（CSV4C）原盒，2025年7月18日发售，每盒30包，每包5张。</t>
        </is>
      </c>
      <c r="Q49" s="80" t="inlineStr">
        <is>
          <t>cmqui01pr00024odkpyf93vhq</t>
        </is>
      </c>
      <c r="R49" s="80" t="inlineStr">
        <is>
          <t>嘉奖回合-slim-box-简中</t>
        </is>
      </c>
      <c r="S49" s="81" t="inlineStr">
        <is>
          <t>Pokemon</t>
        </is>
      </c>
      <c r="T49" s="80" t="inlineStr">
        <is>
          <t>https://pimart-card-production.up.railway.app/products/%E5%98%89%E5%A5%96%E5%9B%9E%E5%90%88-box-%E7%AE%80%E4%B8%AD</t>
        </is>
      </c>
    </row>
    <row r="50" hidden="1" outlineLevel="1" ht="17" customHeight="1" s="59">
      <c r="A50" s="80" t="inlineStr">
        <is>
          <t>补充包 嘉奖回合 瘦盒 BOX（简中）</t>
        </is>
      </c>
      <c r="B50" s="80" t="inlineStr">
        <is>
          <t>朱・紫 CSV4c</t>
        </is>
      </c>
      <c r="C50" s="81" t="inlineStr">
        <is>
          <t>瘦盒</t>
        </is>
      </c>
      <c r="D50" s="82" t="inlineStr">
        <is>
          <t>原箱</t>
        </is>
      </c>
      <c r="E50" s="81" t="inlineStr">
        <is>
          <t>售罄</t>
        </is>
      </c>
      <c r="F50" s="81" t="n"/>
      <c r="G50" s="81" t="n"/>
      <c r="H50" s="81" t="n">
        <v>139.51</v>
      </c>
      <c r="I50" s="81" t="inlineStr">
        <is>
          <t>简中</t>
        </is>
      </c>
      <c r="J50" s="81" t="inlineStr">
        <is>
          <t>否</t>
        </is>
      </c>
      <c r="K50" s="81" t="inlineStr">
        <is>
          <t>否</t>
        </is>
      </c>
      <c r="L50" s="81" t="n">
        <v>6</v>
      </c>
      <c r="M50" s="80" t="inlineStr">
        <is>
          <t>/products/csv4c-slim.png</t>
        </is>
      </c>
      <c r="N50" s="81" t="n"/>
      <c r="O50" s="81" t="inlineStr">
        <is>
          <t>扩充包</t>
        </is>
      </c>
      <c r="P50" s="80" t="inlineStr">
        <is>
          <t>官网/集换社：同弹肥瘦配对。本行=瘦盒（5张装×15包/盒）。 | 简中宝可梦 朱&amp;紫 嘉奖回合（CSV4C）原盒，2025年7月18日发售，每盒30包，每包5张。</t>
        </is>
      </c>
      <c r="Q50" s="80" t="inlineStr">
        <is>
          <t>cmqui01pr00024odkpyf93vhq</t>
        </is>
      </c>
      <c r="R50" s="80" t="inlineStr">
        <is>
          <t>嘉奖回合-slim-box-简中</t>
        </is>
      </c>
      <c r="S50" s="81" t="inlineStr">
        <is>
          <t>Pokemon</t>
        </is>
      </c>
      <c r="T50" s="80" t="inlineStr">
        <is>
          <t>https://pimart-card-production.up.railway.app/products/%E5%98%89%E5%A5%96%E5%9B%9E%E5%90%88-box-%E7%AE%80%E4%B8%AD</t>
        </is>
      </c>
    </row>
    <row r="51" collapsed="1" ht="18" customHeight="1" s="59">
      <c r="A51" s="83" t="inlineStr">
        <is>
          <t>补充包 嘉奖回合 肥盒 BOX（简中）</t>
        </is>
      </c>
      <c r="B51" s="83" t="inlineStr">
        <is>
          <t>朱・紫 CSV4c</t>
        </is>
      </c>
      <c r="C51" s="84" t="inlineStr">
        <is>
          <t>肥盒</t>
        </is>
      </c>
      <c r="D51" s="79" t="inlineStr">
        <is>
          <t>原盒</t>
        </is>
      </c>
      <c r="E51" s="84" t="inlineStr">
        <is>
          <t>售罄</t>
        </is>
      </c>
      <c r="F51" s="84" t="n">
        <v>0</v>
      </c>
      <c r="G51" s="84" t="n">
        <v>5200</v>
      </c>
      <c r="H51" s="84" t="n">
        <v>139.51</v>
      </c>
      <c r="I51" s="84" t="inlineStr">
        <is>
          <t>简中</t>
        </is>
      </c>
      <c r="J51" s="84" t="inlineStr">
        <is>
          <t>否</t>
        </is>
      </c>
      <c r="K51" s="84" t="inlineStr">
        <is>
          <t>否</t>
        </is>
      </c>
      <c r="L51" s="84" t="n">
        <v>6</v>
      </c>
      <c r="M51" s="83" t="inlineStr">
        <is>
          <t>/products/csv4c-fat.png</t>
        </is>
      </c>
      <c r="N51" s="84" t="n"/>
      <c r="O51" s="84" t="inlineStr">
        <is>
          <t>扩充包</t>
        </is>
      </c>
      <c r="P51" s="83" t="inlineStr">
        <is>
          <t>官网/集换社：朱&amp;紫「嘉奖回合」同弹分肥瘦。本行=肥盒（20张装×6包/盒）。配对另一规格见同弹另一行。 | 参考：官网/集换社：同弹肥瘦配对。本行=瘦盒（5张装×15包/盒）。 | 简中宝可梦 朱&amp;紫 嘉奖回合（CSV4C）原盒，2025年7月18日发售，每盒30包，每包5张。</t>
        </is>
      </c>
      <c r="Q51" s="83" t="inlineStr">
        <is>
          <t>cmqui01pr00024odkpyf93vhq</t>
        </is>
      </c>
      <c r="R51" s="83" t="inlineStr">
        <is>
          <t>嘉奖回合-简中-fat-box-简中</t>
        </is>
      </c>
      <c r="S51" s="84" t="inlineStr">
        <is>
          <t>Pokemon</t>
        </is>
      </c>
      <c r="T51" s="83" t="inlineStr">
        <is>
          <t>https://pimart-card-production.up.railway.app/products/%E5%98%89%E5%A5%96%E5%9B%9E%E5%90%88-box-%E7%AE%80%E4%B8%AD</t>
        </is>
      </c>
    </row>
    <row r="52" hidden="1" outlineLevel="1" ht="17" customHeight="1" s="59">
      <c r="A52" s="80" t="inlineStr">
        <is>
          <t>补充包 嘉奖回合 肥盒 BOX（简中）</t>
        </is>
      </c>
      <c r="B52" s="80" t="inlineStr">
        <is>
          <t>朱・紫 CSV4c</t>
        </is>
      </c>
      <c r="C52" s="81" t="inlineStr">
        <is>
          <t>肥盒</t>
        </is>
      </c>
      <c r="D52" s="82" t="inlineStr">
        <is>
          <t>散包</t>
        </is>
      </c>
      <c r="E52" s="81" t="inlineStr">
        <is>
          <t>售罄</t>
        </is>
      </c>
      <c r="F52" s="81" t="n"/>
      <c r="G52" s="81" t="n"/>
      <c r="H52" s="81" t="n">
        <v>139.51</v>
      </c>
      <c r="I52" s="81" t="inlineStr">
        <is>
          <t>简中</t>
        </is>
      </c>
      <c r="J52" s="81" t="inlineStr">
        <is>
          <t>否</t>
        </is>
      </c>
      <c r="K52" s="81" t="inlineStr">
        <is>
          <t>否</t>
        </is>
      </c>
      <c r="L52" s="81" t="n">
        <v>6</v>
      </c>
      <c r="M52" s="80" t="inlineStr">
        <is>
          <t>/products/csv4c-fat.png</t>
        </is>
      </c>
      <c r="N52" s="81" t="n"/>
      <c r="O52" s="81" t="inlineStr">
        <is>
          <t>扩充包</t>
        </is>
      </c>
      <c r="P52" s="80" t="inlineStr">
        <is>
          <t>官网/集换社：朱&amp;紫「嘉奖回合」同弹分肥瘦。本行=肥盒（20张装×6包/盒）。配对另一规格见同弹另一行。 | 参考：官网/集换社：同弹肥瘦配对。本行=瘦盒（5张装×15包/盒）。 | 简中宝可梦 朱&amp;紫 嘉奖回合（CSV4C）原盒，2025年7月18日发售，每盒30包，每包5张。</t>
        </is>
      </c>
      <c r="Q52" s="80" t="inlineStr">
        <is>
          <t>cmqui01pr00024odkpyf93vhq</t>
        </is>
      </c>
      <c r="R52" s="80" t="inlineStr">
        <is>
          <t>嘉奖回合-简中-fat-box-简中</t>
        </is>
      </c>
      <c r="S52" s="81" t="inlineStr">
        <is>
          <t>Pokemon</t>
        </is>
      </c>
      <c r="T52" s="80" t="inlineStr">
        <is>
          <t>https://pimart-card-production.up.railway.app/products/%E5%98%89%E5%A5%96%E5%9B%9E%E5%90%88-box-%E7%AE%80%E4%B8%AD</t>
        </is>
      </c>
    </row>
    <row r="53" hidden="1" outlineLevel="1" ht="17" customHeight="1" s="59">
      <c r="A53" s="80" t="inlineStr">
        <is>
          <t>补充包 嘉奖回合 肥盒 BOX（简中）</t>
        </is>
      </c>
      <c r="B53" s="80" t="inlineStr">
        <is>
          <t>朱・紫 CSV4c</t>
        </is>
      </c>
      <c r="C53" s="81" t="inlineStr">
        <is>
          <t>肥盒</t>
        </is>
      </c>
      <c r="D53" s="82" t="inlineStr">
        <is>
          <t>原箱</t>
        </is>
      </c>
      <c r="E53" s="81" t="inlineStr">
        <is>
          <t>售罄</t>
        </is>
      </c>
      <c r="F53" s="81" t="n"/>
      <c r="G53" s="81" t="n"/>
      <c r="H53" s="81" t="n">
        <v>139.51</v>
      </c>
      <c r="I53" s="81" t="inlineStr">
        <is>
          <t>简中</t>
        </is>
      </c>
      <c r="J53" s="81" t="inlineStr">
        <is>
          <t>否</t>
        </is>
      </c>
      <c r="K53" s="81" t="inlineStr">
        <is>
          <t>否</t>
        </is>
      </c>
      <c r="L53" s="81" t="n">
        <v>6</v>
      </c>
      <c r="M53" s="80" t="inlineStr">
        <is>
          <t>/products/csv4c-fat.png</t>
        </is>
      </c>
      <c r="N53" s="81" t="n"/>
      <c r="O53" s="81" t="inlineStr">
        <is>
          <t>扩充包</t>
        </is>
      </c>
      <c r="P53" s="80" t="inlineStr">
        <is>
          <t>官网/集换社：朱&amp;紫「嘉奖回合」同弹分肥瘦。本行=肥盒（20张装×6包/盒）。配对另一规格见同弹另一行。 | 参考：官网/集换社：同弹肥瘦配对。本行=瘦盒（5张装×15包/盒）。 | 简中宝可梦 朱&amp;紫 嘉奖回合（CSV4C）原盒，2025年7月18日发售，每盒30包，每包5张。</t>
        </is>
      </c>
      <c r="Q53" s="80" t="inlineStr">
        <is>
          <t>cmqui01pr00024odkpyf93vhq</t>
        </is>
      </c>
      <c r="R53" s="80" t="inlineStr">
        <is>
          <t>嘉奖回合-简中-fat-box-简中</t>
        </is>
      </c>
      <c r="S53" s="81" t="inlineStr">
        <is>
          <t>Pokemon</t>
        </is>
      </c>
      <c r="T53" s="80" t="inlineStr">
        <is>
          <t>https://pimart-card-production.up.railway.app/products/%E5%98%89%E5%A5%96%E5%9B%9E%E5%90%88-box-%E7%AE%80%E4%B8%AD</t>
        </is>
      </c>
    </row>
    <row r="54" collapsed="1" ht="18" customHeight="1" s="59">
      <c r="A54" s="76" t="inlineStr">
        <is>
          <t xml:space="preserve">  第3弹 · 无畏太晶（瘦盒5张装 / 肥盒20张装）</t>
        </is>
      </c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</row>
    <row r="55" collapsed="1" ht="18" customHeight="1" s="59">
      <c r="A55" s="77" t="inlineStr">
        <is>
          <t>补充包 无畏太晶 瘦盒 BOX（简中）</t>
        </is>
      </c>
      <c r="B55" s="77" t="inlineStr">
        <is>
          <t>朱・紫 CSV3c</t>
        </is>
      </c>
      <c r="C55" s="78" t="inlineStr">
        <is>
          <t>瘦盒</t>
        </is>
      </c>
      <c r="D55" s="79" t="inlineStr">
        <is>
          <t>原盒</t>
        </is>
      </c>
      <c r="E55" s="78" t="inlineStr">
        <is>
          <t>售罄</t>
        </is>
      </c>
      <c r="F55" s="78" t="n">
        <v>0</v>
      </c>
      <c r="G55" s="78" t="n">
        <v>5000</v>
      </c>
      <c r="H55" s="78" t="n">
        <v>134.15</v>
      </c>
      <c r="I55" s="78" t="inlineStr">
        <is>
          <t>简中</t>
        </is>
      </c>
      <c r="J55" s="78" t="inlineStr">
        <is>
          <t>否</t>
        </is>
      </c>
      <c r="K55" s="78" t="inlineStr">
        <is>
          <t>否</t>
        </is>
      </c>
      <c r="L55" s="78" t="n">
        <v>6</v>
      </c>
      <c r="M55" s="77" t="inlineStr">
        <is>
          <t>/products/csv3c-slim.png</t>
        </is>
      </c>
      <c r="N55" s="78" t="n"/>
      <c r="O55" s="78" t="inlineStr">
        <is>
          <t>扩充包</t>
        </is>
      </c>
      <c r="P55" s="77" t="inlineStr">
        <is>
          <t>官网/集换社：同弹肥瘦配对。本行=瘦盒（5张装×15包/盒）。 | 简中宝可梦 朱&amp;紫 无畏太晶（CSV3C）原盒，2025年5月16日发售，每盒30包，每包5张。</t>
        </is>
      </c>
      <c r="Q55" s="77" t="inlineStr">
        <is>
          <t>cmqui01pm00014odkjaq7ee1t</t>
        </is>
      </c>
      <c r="R55" s="77" t="inlineStr">
        <is>
          <t>无畏太晶-slim-box-简中</t>
        </is>
      </c>
      <c r="S55" s="78" t="inlineStr">
        <is>
          <t>Pokemon</t>
        </is>
      </c>
      <c r="T55" s="77" t="inlineStr">
        <is>
          <t>https://pimart-card-production.up.railway.app/products/%E6%97%A0%E7%95%8F%E5%A4%AA%E6%99%B6-box-%E7%AE%80%E4%B8%AD</t>
        </is>
      </c>
    </row>
    <row r="56" hidden="1" outlineLevel="1" ht="17" customHeight="1" s="59">
      <c r="A56" s="80" t="inlineStr">
        <is>
          <t>补充包 无畏太晶 瘦盒 BOX（简中）</t>
        </is>
      </c>
      <c r="B56" s="80" t="inlineStr">
        <is>
          <t>朱・紫 CSV3c</t>
        </is>
      </c>
      <c r="C56" s="81" t="inlineStr">
        <is>
          <t>瘦盒</t>
        </is>
      </c>
      <c r="D56" s="82" t="inlineStr">
        <is>
          <t>散包</t>
        </is>
      </c>
      <c r="E56" s="81" t="inlineStr">
        <is>
          <t>售罄</t>
        </is>
      </c>
      <c r="F56" s="81" t="n"/>
      <c r="G56" s="81" t="n"/>
      <c r="H56" s="81" t="n">
        <v>134.15</v>
      </c>
      <c r="I56" s="81" t="inlineStr">
        <is>
          <t>简中</t>
        </is>
      </c>
      <c r="J56" s="81" t="inlineStr">
        <is>
          <t>否</t>
        </is>
      </c>
      <c r="K56" s="81" t="inlineStr">
        <is>
          <t>否</t>
        </is>
      </c>
      <c r="L56" s="81" t="n">
        <v>6</v>
      </c>
      <c r="M56" s="80" t="inlineStr">
        <is>
          <t>/products/csv3c-slim.png</t>
        </is>
      </c>
      <c r="N56" s="81" t="n"/>
      <c r="O56" s="81" t="inlineStr">
        <is>
          <t>扩充包</t>
        </is>
      </c>
      <c r="P56" s="80" t="inlineStr">
        <is>
          <t>官网/集换社：同弹肥瘦配对。本行=瘦盒（5张装×15包/盒）。 | 简中宝可梦 朱&amp;紫 无畏太晶（CSV3C）原盒，2025年5月16日发售，每盒30包，每包5张。</t>
        </is>
      </c>
      <c r="Q56" s="80" t="inlineStr">
        <is>
          <t>cmqui01pm00014odkjaq7ee1t</t>
        </is>
      </c>
      <c r="R56" s="80" t="inlineStr">
        <is>
          <t>无畏太晶-slim-box-简中</t>
        </is>
      </c>
      <c r="S56" s="81" t="inlineStr">
        <is>
          <t>Pokemon</t>
        </is>
      </c>
      <c r="T56" s="80" t="inlineStr">
        <is>
          <t>https://pimart-card-production.up.railway.app/products/%E6%97%A0%E7%95%8F%E5%A4%AA%E6%99%B6-box-%E7%AE%80%E4%B8%AD</t>
        </is>
      </c>
    </row>
    <row r="57" hidden="1" outlineLevel="1" ht="17" customHeight="1" s="59">
      <c r="A57" s="80" t="inlineStr">
        <is>
          <t>补充包 无畏太晶 瘦盒 BOX（简中）</t>
        </is>
      </c>
      <c r="B57" s="80" t="inlineStr">
        <is>
          <t>朱・紫 CSV3c</t>
        </is>
      </c>
      <c r="C57" s="81" t="inlineStr">
        <is>
          <t>瘦盒</t>
        </is>
      </c>
      <c r="D57" s="82" t="inlineStr">
        <is>
          <t>原箱</t>
        </is>
      </c>
      <c r="E57" s="81" t="inlineStr">
        <is>
          <t>售罄</t>
        </is>
      </c>
      <c r="F57" s="81" t="n"/>
      <c r="G57" s="81" t="n"/>
      <c r="H57" s="81" t="n">
        <v>134.15</v>
      </c>
      <c r="I57" s="81" t="inlineStr">
        <is>
          <t>简中</t>
        </is>
      </c>
      <c r="J57" s="81" t="inlineStr">
        <is>
          <t>否</t>
        </is>
      </c>
      <c r="K57" s="81" t="inlineStr">
        <is>
          <t>否</t>
        </is>
      </c>
      <c r="L57" s="81" t="n">
        <v>6</v>
      </c>
      <c r="M57" s="80" t="inlineStr">
        <is>
          <t>/products/csv3c-slim.png</t>
        </is>
      </c>
      <c r="N57" s="81" t="n"/>
      <c r="O57" s="81" t="inlineStr">
        <is>
          <t>扩充包</t>
        </is>
      </c>
      <c r="P57" s="80" t="inlineStr">
        <is>
          <t>官网/集换社：同弹肥瘦配对。本行=瘦盒（5张装×15包/盒）。 | 简中宝可梦 朱&amp;紫 无畏太晶（CSV3C）原盒，2025年5月16日发售，每盒30包，每包5张。</t>
        </is>
      </c>
      <c r="Q57" s="80" t="inlineStr">
        <is>
          <t>cmqui01pm00014odkjaq7ee1t</t>
        </is>
      </c>
      <c r="R57" s="80" t="inlineStr">
        <is>
          <t>无畏太晶-slim-box-简中</t>
        </is>
      </c>
      <c r="S57" s="81" t="inlineStr">
        <is>
          <t>Pokemon</t>
        </is>
      </c>
      <c r="T57" s="80" t="inlineStr">
        <is>
          <t>https://pimart-card-production.up.railway.app/products/%E6%97%A0%E7%95%8F%E5%A4%AA%E6%99%B6-box-%E7%AE%80%E4%B8%AD</t>
        </is>
      </c>
    </row>
    <row r="58" collapsed="1" ht="18" customHeight="1" s="59">
      <c r="A58" s="83" t="inlineStr">
        <is>
          <t>补充包 无畏太晶 肥盒 BOX（简中）</t>
        </is>
      </c>
      <c r="B58" s="83" t="inlineStr">
        <is>
          <t>朱・紫 CSV3c</t>
        </is>
      </c>
      <c r="C58" s="84" t="inlineStr">
        <is>
          <t>肥盒</t>
        </is>
      </c>
      <c r="D58" s="79" t="inlineStr">
        <is>
          <t>原盒</t>
        </is>
      </c>
      <c r="E58" s="84" t="inlineStr">
        <is>
          <t>售罄</t>
        </is>
      </c>
      <c r="F58" s="84" t="n">
        <v>0</v>
      </c>
      <c r="G58" s="84" t="n">
        <v>5000</v>
      </c>
      <c r="H58" s="84" t="n">
        <v>134.15</v>
      </c>
      <c r="I58" s="84" t="inlineStr">
        <is>
          <t>简中</t>
        </is>
      </c>
      <c r="J58" s="84" t="inlineStr">
        <is>
          <t>否</t>
        </is>
      </c>
      <c r="K58" s="84" t="inlineStr">
        <is>
          <t>否</t>
        </is>
      </c>
      <c r="L58" s="84" t="n">
        <v>6</v>
      </c>
      <c r="M58" s="83" t="inlineStr">
        <is>
          <t>/products/csv3c-fat.png</t>
        </is>
      </c>
      <c r="N58" s="84" t="n"/>
      <c r="O58" s="84" t="inlineStr">
        <is>
          <t>扩充包</t>
        </is>
      </c>
      <c r="P58" s="83" t="inlineStr">
        <is>
          <t>官网/集换社：朱&amp;紫「无畏太晶」同弹分肥瘦。本行=肥盒（20张装×6包/盒）。配对另一规格见同弹另一行。 | 参考：官网/集换社：同弹肥瘦配对。本行=瘦盒（5张装×15包/盒）。 | 简中宝可梦 朱&amp;紫 无畏太晶（CSV3C）原盒，2025年5月16日发售，每盒30包，每包5张。</t>
        </is>
      </c>
      <c r="Q58" s="83" t="inlineStr">
        <is>
          <t>cmqui01pm00014odkjaq7ee1t</t>
        </is>
      </c>
      <c r="R58" s="83" t="inlineStr">
        <is>
          <t>无畏太晶-简中-fat-box-简中</t>
        </is>
      </c>
      <c r="S58" s="84" t="inlineStr">
        <is>
          <t>Pokemon</t>
        </is>
      </c>
      <c r="T58" s="83" t="inlineStr">
        <is>
          <t>https://pimart-card-production.up.railway.app/products/%E6%97%A0%E7%95%8F%E5%A4%AA%E6%99%B6-box-%E7%AE%80%E4%B8%AD</t>
        </is>
      </c>
    </row>
    <row r="59" hidden="1" outlineLevel="1" ht="17" customHeight="1" s="59">
      <c r="A59" s="80" t="inlineStr">
        <is>
          <t>补充包 无畏太晶 肥盒 BOX（简中）</t>
        </is>
      </c>
      <c r="B59" s="80" t="inlineStr">
        <is>
          <t>朱・紫 CSV3c</t>
        </is>
      </c>
      <c r="C59" s="81" t="inlineStr">
        <is>
          <t>肥盒</t>
        </is>
      </c>
      <c r="D59" s="82" t="inlineStr">
        <is>
          <t>散包</t>
        </is>
      </c>
      <c r="E59" s="81" t="inlineStr">
        <is>
          <t>售罄</t>
        </is>
      </c>
      <c r="F59" s="81" t="n"/>
      <c r="G59" s="81" t="n"/>
      <c r="H59" s="81" t="n">
        <v>134.15</v>
      </c>
      <c r="I59" s="81" t="inlineStr">
        <is>
          <t>简中</t>
        </is>
      </c>
      <c r="J59" s="81" t="inlineStr">
        <is>
          <t>否</t>
        </is>
      </c>
      <c r="K59" s="81" t="inlineStr">
        <is>
          <t>否</t>
        </is>
      </c>
      <c r="L59" s="81" t="n">
        <v>6</v>
      </c>
      <c r="M59" s="80" t="inlineStr">
        <is>
          <t>/products/csv3c-fat.png</t>
        </is>
      </c>
      <c r="N59" s="81" t="n"/>
      <c r="O59" s="81" t="inlineStr">
        <is>
          <t>扩充包</t>
        </is>
      </c>
      <c r="P59" s="80" t="inlineStr">
        <is>
          <t>官网/集换社：朱&amp;紫「无畏太晶」同弹分肥瘦。本行=肥盒（20张装×6包/盒）。配对另一规格见同弹另一行。 | 参考：官网/集换社：同弹肥瘦配对。本行=瘦盒（5张装×15包/盒）。 | 简中宝可梦 朱&amp;紫 无畏太晶（CSV3C）原盒，2025年5月16日发售，每盒30包，每包5张。</t>
        </is>
      </c>
      <c r="Q59" s="80" t="inlineStr">
        <is>
          <t>cmqui01pm00014odkjaq7ee1t</t>
        </is>
      </c>
      <c r="R59" s="80" t="inlineStr">
        <is>
          <t>无畏太晶-简中-fat-box-简中</t>
        </is>
      </c>
      <c r="S59" s="81" t="inlineStr">
        <is>
          <t>Pokemon</t>
        </is>
      </c>
      <c r="T59" s="80" t="inlineStr">
        <is>
          <t>https://pimart-card-production.up.railway.app/products/%E6%97%A0%E7%95%8F%E5%A4%AA%E6%99%B6-box-%E7%AE%80%E4%B8%AD</t>
        </is>
      </c>
    </row>
    <row r="60" hidden="1" outlineLevel="1" ht="17" customHeight="1" s="59">
      <c r="A60" s="80" t="inlineStr">
        <is>
          <t>补充包 无畏太晶 肥盒 BOX（简中）</t>
        </is>
      </c>
      <c r="B60" s="80" t="inlineStr">
        <is>
          <t>朱・紫 CSV3c</t>
        </is>
      </c>
      <c r="C60" s="81" t="inlineStr">
        <is>
          <t>肥盒</t>
        </is>
      </c>
      <c r="D60" s="82" t="inlineStr">
        <is>
          <t>原箱</t>
        </is>
      </c>
      <c r="E60" s="81" t="inlineStr">
        <is>
          <t>售罄</t>
        </is>
      </c>
      <c r="F60" s="81" t="n"/>
      <c r="G60" s="81" t="n"/>
      <c r="H60" s="81" t="n">
        <v>134.15</v>
      </c>
      <c r="I60" s="81" t="inlineStr">
        <is>
          <t>简中</t>
        </is>
      </c>
      <c r="J60" s="81" t="inlineStr">
        <is>
          <t>否</t>
        </is>
      </c>
      <c r="K60" s="81" t="inlineStr">
        <is>
          <t>否</t>
        </is>
      </c>
      <c r="L60" s="81" t="n">
        <v>6</v>
      </c>
      <c r="M60" s="80" t="inlineStr">
        <is>
          <t>/products/csv3c-fat.png</t>
        </is>
      </c>
      <c r="N60" s="81" t="n"/>
      <c r="O60" s="81" t="inlineStr">
        <is>
          <t>扩充包</t>
        </is>
      </c>
      <c r="P60" s="80" t="inlineStr">
        <is>
          <t>官网/集换社：朱&amp;紫「无畏太晶」同弹分肥瘦。本行=肥盒（20张装×6包/盒）。配对另一规格见同弹另一行。 | 参考：官网/集换社：同弹肥瘦配对。本行=瘦盒（5张装×15包/盒）。 | 简中宝可梦 朱&amp;紫 无畏太晶（CSV3C）原盒，2025年5月16日发售，每盒30包，每包5张。</t>
        </is>
      </c>
      <c r="Q60" s="80" t="inlineStr">
        <is>
          <t>cmqui01pm00014odkjaq7ee1t</t>
        </is>
      </c>
      <c r="R60" s="80" t="inlineStr">
        <is>
          <t>无畏太晶-简中-fat-box-简中</t>
        </is>
      </c>
      <c r="S60" s="81" t="inlineStr">
        <is>
          <t>Pokemon</t>
        </is>
      </c>
      <c r="T60" s="80" t="inlineStr">
        <is>
          <t>https://pimart-card-production.up.railway.app/products/%E6%97%A0%E7%95%8F%E5%A4%AA%E6%99%B6-box-%E7%AE%80%E4%B8%AD</t>
        </is>
      </c>
    </row>
    <row r="61" collapsed="1" ht="18" customHeight="1" s="59">
      <c r="A61" s="76" t="inlineStr">
        <is>
          <t xml:space="preserve">  第2弹 · 奇迹启程（瘦盒5张装 / 肥盒20张装）</t>
        </is>
      </c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</row>
    <row r="62" collapsed="1" ht="18" customHeight="1" s="59">
      <c r="A62" s="77" t="inlineStr">
        <is>
          <t>补充包 奇迹启程 瘦盒 BOX（简中）</t>
        </is>
      </c>
      <c r="B62" s="77" t="inlineStr">
        <is>
          <t>朱・紫 CSV2c</t>
        </is>
      </c>
      <c r="C62" s="78" t="inlineStr">
        <is>
          <t>瘦盒</t>
        </is>
      </c>
      <c r="D62" s="79" t="inlineStr">
        <is>
          <t>原盒</t>
        </is>
      </c>
      <c r="E62" s="78" t="inlineStr">
        <is>
          <t>售罄</t>
        </is>
      </c>
      <c r="F62" s="78" t="n">
        <v>0</v>
      </c>
      <c r="G62" s="78" t="n">
        <v>4800</v>
      </c>
      <c r="H62" s="78" t="n">
        <v>128.78</v>
      </c>
      <c r="I62" s="78" t="inlineStr">
        <is>
          <t>简中</t>
        </is>
      </c>
      <c r="J62" s="78" t="inlineStr">
        <is>
          <t>否</t>
        </is>
      </c>
      <c r="K62" s="78" t="inlineStr">
        <is>
          <t>否</t>
        </is>
      </c>
      <c r="L62" s="78" t="n">
        <v>6</v>
      </c>
      <c r="M62" s="77" t="inlineStr">
        <is>
          <t>/products/csv2c-slim.png</t>
        </is>
      </c>
      <c r="N62" s="78" t="n"/>
      <c r="O62" s="78" t="inlineStr">
        <is>
          <t>扩充包</t>
        </is>
      </c>
      <c r="P62" s="77" t="inlineStr">
        <is>
          <t>官网/集换社：同弹肥瘦配对。本行=瘦盒（5张装×15包/盒）。 | 简中宝可梦 朱&amp;紫 奇迹启程（CSV2C）原盒，2025年3月21日发售，每盒30包，每包5张。</t>
        </is>
      </c>
      <c r="Q62" s="77" t="inlineStr">
        <is>
          <t>cmqui01pg00004odkn7nxt4d2</t>
        </is>
      </c>
      <c r="R62" s="77" t="inlineStr">
        <is>
          <t>奇迹启程-slim-box-简中</t>
        </is>
      </c>
      <c r="S62" s="78" t="inlineStr">
        <is>
          <t>Pokemon</t>
        </is>
      </c>
      <c r="T62" s="77" t="inlineStr">
        <is>
          <t>https://pimart-card-production.up.railway.app/products/%E5%A5%87%E8%BF%B9%E5%90%AF%E7%A8%8B-box-%E7%AE%80%E4%B8%AD</t>
        </is>
      </c>
    </row>
    <row r="63" hidden="1" outlineLevel="1" ht="17" customHeight="1" s="59">
      <c r="A63" s="80" t="inlineStr">
        <is>
          <t>补充包 奇迹启程 瘦盒 BOX（简中）</t>
        </is>
      </c>
      <c r="B63" s="80" t="inlineStr">
        <is>
          <t>朱・紫 CSV2c</t>
        </is>
      </c>
      <c r="C63" s="81" t="inlineStr">
        <is>
          <t>瘦盒</t>
        </is>
      </c>
      <c r="D63" s="82" t="inlineStr">
        <is>
          <t>散包</t>
        </is>
      </c>
      <c r="E63" s="81" t="inlineStr">
        <is>
          <t>售罄</t>
        </is>
      </c>
      <c r="F63" s="81" t="n"/>
      <c r="G63" s="81" t="n"/>
      <c r="H63" s="81" t="n">
        <v>128.78</v>
      </c>
      <c r="I63" s="81" t="inlineStr">
        <is>
          <t>简中</t>
        </is>
      </c>
      <c r="J63" s="81" t="inlineStr">
        <is>
          <t>否</t>
        </is>
      </c>
      <c r="K63" s="81" t="inlineStr">
        <is>
          <t>否</t>
        </is>
      </c>
      <c r="L63" s="81" t="n">
        <v>6</v>
      </c>
      <c r="M63" s="80" t="inlineStr">
        <is>
          <t>/products/csv2c-slim.png</t>
        </is>
      </c>
      <c r="N63" s="81" t="n"/>
      <c r="O63" s="81" t="inlineStr">
        <is>
          <t>扩充包</t>
        </is>
      </c>
      <c r="P63" s="80" t="inlineStr">
        <is>
          <t>官网/集换社：同弹肥瘦配对。本行=瘦盒（5张装×15包/盒）。 | 简中宝可梦 朱&amp;紫 奇迹启程（CSV2C）原盒，2025年3月21日发售，每盒30包，每包5张。</t>
        </is>
      </c>
      <c r="Q63" s="80" t="inlineStr">
        <is>
          <t>cmqui01pg00004odkn7nxt4d2</t>
        </is>
      </c>
      <c r="R63" s="80" t="inlineStr">
        <is>
          <t>奇迹启程-slim-box-简中</t>
        </is>
      </c>
      <c r="S63" s="81" t="inlineStr">
        <is>
          <t>Pokemon</t>
        </is>
      </c>
      <c r="T63" s="80" t="inlineStr">
        <is>
          <t>https://pimart-card-production.up.railway.app/products/%E5%A5%87%E8%BF%B9%E5%90%AF%E7%A8%8B-box-%E7%AE%80%E4%B8%AD</t>
        </is>
      </c>
    </row>
    <row r="64" hidden="1" outlineLevel="1" ht="17" customHeight="1" s="59">
      <c r="A64" s="80" t="inlineStr">
        <is>
          <t>补充包 奇迹启程 瘦盒 BOX（简中）</t>
        </is>
      </c>
      <c r="B64" s="80" t="inlineStr">
        <is>
          <t>朱・紫 CSV2c</t>
        </is>
      </c>
      <c r="C64" s="81" t="inlineStr">
        <is>
          <t>瘦盒</t>
        </is>
      </c>
      <c r="D64" s="82" t="inlineStr">
        <is>
          <t>原箱</t>
        </is>
      </c>
      <c r="E64" s="81" t="inlineStr">
        <is>
          <t>售罄</t>
        </is>
      </c>
      <c r="F64" s="81" t="n"/>
      <c r="G64" s="81" t="n"/>
      <c r="H64" s="81" t="n">
        <v>128.78</v>
      </c>
      <c r="I64" s="81" t="inlineStr">
        <is>
          <t>简中</t>
        </is>
      </c>
      <c r="J64" s="81" t="inlineStr">
        <is>
          <t>否</t>
        </is>
      </c>
      <c r="K64" s="81" t="inlineStr">
        <is>
          <t>否</t>
        </is>
      </c>
      <c r="L64" s="81" t="n">
        <v>6</v>
      </c>
      <c r="M64" s="80" t="inlineStr">
        <is>
          <t>/products/csv2c-slim.png</t>
        </is>
      </c>
      <c r="N64" s="81" t="n"/>
      <c r="O64" s="81" t="inlineStr">
        <is>
          <t>扩充包</t>
        </is>
      </c>
      <c r="P64" s="80" t="inlineStr">
        <is>
          <t>官网/集换社：同弹肥瘦配对。本行=瘦盒（5张装×15包/盒）。 | 简中宝可梦 朱&amp;紫 奇迹启程（CSV2C）原盒，2025年3月21日发售，每盒30包，每包5张。</t>
        </is>
      </c>
      <c r="Q64" s="80" t="inlineStr">
        <is>
          <t>cmqui01pg00004odkn7nxt4d2</t>
        </is>
      </c>
      <c r="R64" s="80" t="inlineStr">
        <is>
          <t>奇迹启程-slim-box-简中</t>
        </is>
      </c>
      <c r="S64" s="81" t="inlineStr">
        <is>
          <t>Pokemon</t>
        </is>
      </c>
      <c r="T64" s="80" t="inlineStr">
        <is>
          <t>https://pimart-card-production.up.railway.app/products/%E5%A5%87%E8%BF%B9%E5%90%AF%E7%A8%8B-box-%E7%AE%80%E4%B8%AD</t>
        </is>
      </c>
    </row>
    <row r="65" collapsed="1" ht="18" customHeight="1" s="59">
      <c r="A65" s="83" t="inlineStr">
        <is>
          <t>补充包 奇迹启程 肥盒 BOX（简中）</t>
        </is>
      </c>
      <c r="B65" s="83" t="inlineStr">
        <is>
          <t>朱・紫 CSV2c</t>
        </is>
      </c>
      <c r="C65" s="84" t="inlineStr">
        <is>
          <t>肥盒</t>
        </is>
      </c>
      <c r="D65" s="79" t="inlineStr">
        <is>
          <t>原盒</t>
        </is>
      </c>
      <c r="E65" s="84" t="inlineStr">
        <is>
          <t>售罄</t>
        </is>
      </c>
      <c r="F65" s="84" t="n">
        <v>0</v>
      </c>
      <c r="G65" s="84" t="n">
        <v>4800</v>
      </c>
      <c r="H65" s="84" t="n">
        <v>128.78</v>
      </c>
      <c r="I65" s="84" t="inlineStr">
        <is>
          <t>简中</t>
        </is>
      </c>
      <c r="J65" s="84" t="inlineStr">
        <is>
          <t>否</t>
        </is>
      </c>
      <c r="K65" s="84" t="inlineStr">
        <is>
          <t>否</t>
        </is>
      </c>
      <c r="L65" s="84" t="n">
        <v>6</v>
      </c>
      <c r="M65" s="83" t="inlineStr">
        <is>
          <t>/products/csv2c-fat.png</t>
        </is>
      </c>
      <c r="N65" s="84" t="n"/>
      <c r="O65" s="84" t="inlineStr">
        <is>
          <t>扩充包</t>
        </is>
      </c>
      <c r="P65" s="83" t="inlineStr">
        <is>
          <t>官网/集换社：朱&amp;紫「奇迹启程」同弹分肥瘦。本行=肥盒（20张装×6包/盒）。配对另一规格见同弹另一行。 | 参考：官网/集换社：同弹肥瘦配对。本行=瘦盒（5张装×15包/盒）。 | 简中宝可梦 朱&amp;紫 奇迹启程（CSV2C）原盒，2025年3月21日发售，每盒30包，每包5张。</t>
        </is>
      </c>
      <c r="Q65" s="83" t="inlineStr">
        <is>
          <t>cmqui01pg00004odkn7nxt4d2</t>
        </is>
      </c>
      <c r="R65" s="83" t="inlineStr">
        <is>
          <t>奇迹启程-简中-fat-box-简中</t>
        </is>
      </c>
      <c r="S65" s="84" t="inlineStr">
        <is>
          <t>Pokemon</t>
        </is>
      </c>
      <c r="T65" s="83" t="inlineStr">
        <is>
          <t>https://pimart-card-production.up.railway.app/products/%E5%A5%87%E8%BF%B9%E5%90%AF%E7%A8%8B-box-%E7%AE%80%E4%B8%AD</t>
        </is>
      </c>
    </row>
    <row r="66" hidden="1" outlineLevel="1" ht="17" customHeight="1" s="59">
      <c r="A66" s="80" t="inlineStr">
        <is>
          <t>补充包 奇迹启程 肥盒 BOX（简中）</t>
        </is>
      </c>
      <c r="B66" s="80" t="inlineStr">
        <is>
          <t>朱・紫 CSV2c</t>
        </is>
      </c>
      <c r="C66" s="81" t="inlineStr">
        <is>
          <t>肥盒</t>
        </is>
      </c>
      <c r="D66" s="82" t="inlineStr">
        <is>
          <t>散包</t>
        </is>
      </c>
      <c r="E66" s="81" t="inlineStr">
        <is>
          <t>售罄</t>
        </is>
      </c>
      <c r="F66" s="81" t="n"/>
      <c r="G66" s="81" t="n"/>
      <c r="H66" s="81" t="n">
        <v>128.78</v>
      </c>
      <c r="I66" s="81" t="inlineStr">
        <is>
          <t>简中</t>
        </is>
      </c>
      <c r="J66" s="81" t="inlineStr">
        <is>
          <t>否</t>
        </is>
      </c>
      <c r="K66" s="81" t="inlineStr">
        <is>
          <t>否</t>
        </is>
      </c>
      <c r="L66" s="81" t="n">
        <v>6</v>
      </c>
      <c r="M66" s="80" t="inlineStr">
        <is>
          <t>/products/csv2c-fat.png</t>
        </is>
      </c>
      <c r="N66" s="81" t="n"/>
      <c r="O66" s="81" t="inlineStr">
        <is>
          <t>扩充包</t>
        </is>
      </c>
      <c r="P66" s="80" t="inlineStr">
        <is>
          <t>官网/集换社：朱&amp;紫「奇迹启程」同弹分肥瘦。本行=肥盒（20张装×6包/盒）。配对另一规格见同弹另一行。 | 参考：官网/集换社：同弹肥瘦配对。本行=瘦盒（5张装×15包/盒）。 | 简中宝可梦 朱&amp;紫 奇迹启程（CSV2C）原盒，2025年3月21日发售，每盒30包，每包5张。</t>
        </is>
      </c>
      <c r="Q66" s="80" t="inlineStr">
        <is>
          <t>cmqui01pg00004odkn7nxt4d2</t>
        </is>
      </c>
      <c r="R66" s="80" t="inlineStr">
        <is>
          <t>奇迹启程-简中-fat-box-简中</t>
        </is>
      </c>
      <c r="S66" s="81" t="inlineStr">
        <is>
          <t>Pokemon</t>
        </is>
      </c>
      <c r="T66" s="80" t="inlineStr">
        <is>
          <t>https://pimart-card-production.up.railway.app/products/%E5%A5%87%E8%BF%B9%E5%90%AF%E7%A8%8B-box-%E7%AE%80%E4%B8%AD</t>
        </is>
      </c>
    </row>
    <row r="67" hidden="1" outlineLevel="1" ht="17" customHeight="1" s="59">
      <c r="A67" s="80" t="inlineStr">
        <is>
          <t>补充包 奇迹启程 肥盒 BOX（简中）</t>
        </is>
      </c>
      <c r="B67" s="80" t="inlineStr">
        <is>
          <t>朱・紫 CSV2c</t>
        </is>
      </c>
      <c r="C67" s="81" t="inlineStr">
        <is>
          <t>肥盒</t>
        </is>
      </c>
      <c r="D67" s="82" t="inlineStr">
        <is>
          <t>原箱</t>
        </is>
      </c>
      <c r="E67" s="81" t="inlineStr">
        <is>
          <t>售罄</t>
        </is>
      </c>
      <c r="F67" s="81" t="n"/>
      <c r="G67" s="81" t="n"/>
      <c r="H67" s="81" t="n">
        <v>128.78</v>
      </c>
      <c r="I67" s="81" t="inlineStr">
        <is>
          <t>简中</t>
        </is>
      </c>
      <c r="J67" s="81" t="inlineStr">
        <is>
          <t>否</t>
        </is>
      </c>
      <c r="K67" s="81" t="inlineStr">
        <is>
          <t>否</t>
        </is>
      </c>
      <c r="L67" s="81" t="n">
        <v>6</v>
      </c>
      <c r="M67" s="80" t="inlineStr">
        <is>
          <t>/products/csv2c-fat.png</t>
        </is>
      </c>
      <c r="N67" s="81" t="n"/>
      <c r="O67" s="81" t="inlineStr">
        <is>
          <t>扩充包</t>
        </is>
      </c>
      <c r="P67" s="80" t="inlineStr">
        <is>
          <t>官网/集换社：朱&amp;紫「奇迹启程」同弹分肥瘦。本行=肥盒（20张装×6包/盒）。配对另一规格见同弹另一行。 | 参考：官网/集换社：同弹肥瘦配对。本行=瘦盒（5张装×15包/盒）。 | 简中宝可梦 朱&amp;紫 奇迹启程（CSV2C）原盒，2025年3月21日发售，每盒30包，每包5张。</t>
        </is>
      </c>
      <c r="Q67" s="80" t="inlineStr">
        <is>
          <t>cmqui01pg00004odkn7nxt4d2</t>
        </is>
      </c>
      <c r="R67" s="80" t="inlineStr">
        <is>
          <t>奇迹启程-简中-fat-box-简中</t>
        </is>
      </c>
      <c r="S67" s="81" t="inlineStr">
        <is>
          <t>Pokemon</t>
        </is>
      </c>
      <c r="T67" s="80" t="inlineStr">
        <is>
          <t>https://pimart-card-production.up.railway.app/products/%E5%A5%87%E8%BF%B9%E5%90%AF%E7%A8%8B-box-%E7%AE%80%E4%B8%AD</t>
        </is>
      </c>
    </row>
    <row r="68" collapsed="1" ht="6" customHeight="1" s="59"/>
    <row r="69" ht="18" customHeight="1" s="59">
      <c r="A69" s="76" t="inlineStr">
        <is>
          <t xml:space="preserve">  第1弹 · 亘古开来（瘦盒5张装 / 肥盒20张装）</t>
        </is>
      </c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</row>
    <row r="70" ht="18" customHeight="1" s="59">
      <c r="A70" s="77" t="inlineStr">
        <is>
          <t>补充包 亘古开来 瘦盒 BOX（简中）</t>
        </is>
      </c>
      <c r="B70" s="77" t="inlineStr">
        <is>
          <t>朱・紫 CSV1c</t>
        </is>
      </c>
      <c r="C70" s="78" t="inlineStr">
        <is>
          <t>瘦盒</t>
        </is>
      </c>
      <c r="D70" s="79" t="inlineStr">
        <is>
          <t>原盒</t>
        </is>
      </c>
      <c r="E70" s="78" t="inlineStr">
        <is>
          <t>售罄</t>
        </is>
      </c>
      <c r="F70" s="78" t="n">
        <v>0</v>
      </c>
      <c r="G70" s="78" t="n">
        <v>0</v>
      </c>
      <c r="H70" s="78" t="n"/>
      <c r="I70" s="78" t="inlineStr">
        <is>
          <t>简中</t>
        </is>
      </c>
      <c r="J70" s="78" t="inlineStr">
        <is>
          <t>否</t>
        </is>
      </c>
      <c r="K70" s="78" t="inlineStr">
        <is>
          <t>否</t>
        </is>
      </c>
      <c r="L70" s="78" t="n">
        <v>6</v>
      </c>
      <c r="M70" s="77" t="inlineStr">
        <is>
          <t>/products/csv1c-slim.png</t>
        </is>
      </c>
      <c r="N70" s="78" t="n"/>
      <c r="O70" s="78" t="inlineStr">
        <is>
          <t>扩充包</t>
        </is>
      </c>
      <c r="P70" s="77" t="inlineStr">
        <is>
          <t>朱&amp;紫第一弹「亘古开来」（CSV1c），2025-01-17发售；可选瘦盒/肥盒/散包/原箱。</t>
        </is>
      </c>
      <c r="Q70" s="77" t="n"/>
      <c r="R70" s="77" t="inlineStr">
        <is>
          <t>csv1c-slim-box-简中</t>
        </is>
      </c>
      <c r="S70" s="78" t="inlineStr">
        <is>
          <t>Pokemon</t>
        </is>
      </c>
      <c r="T70" s="77" t="n"/>
    </row>
    <row r="71" hidden="1" outlineLevel="1" ht="17" customHeight="1" s="59">
      <c r="A71" s="80" t="inlineStr">
        <is>
          <t>补充包 亘古开来 瘦盒 BOX（简中）</t>
        </is>
      </c>
      <c r="B71" s="80" t="inlineStr">
        <is>
          <t>朱・紫 CSV1c</t>
        </is>
      </c>
      <c r="C71" s="81" t="inlineStr">
        <is>
          <t>瘦盒</t>
        </is>
      </c>
      <c r="D71" s="82" t="inlineStr">
        <is>
          <t>散包</t>
        </is>
      </c>
      <c r="E71" s="81" t="inlineStr">
        <is>
          <t>售罄</t>
        </is>
      </c>
      <c r="F71" s="81" t="n">
        <v>0</v>
      </c>
      <c r="G71" s="81" t="n">
        <v>0</v>
      </c>
      <c r="H71" s="81" t="n"/>
      <c r="I71" s="81" t="inlineStr">
        <is>
          <t>简中</t>
        </is>
      </c>
      <c r="J71" s="81" t="inlineStr">
        <is>
          <t>否</t>
        </is>
      </c>
      <c r="K71" s="81" t="inlineStr">
        <is>
          <t>否</t>
        </is>
      </c>
      <c r="L71" s="81" t="n">
        <v>6</v>
      </c>
      <c r="M71" s="80" t="inlineStr">
        <is>
          <t>/products/csv1c-slim.png</t>
        </is>
      </c>
      <c r="N71" s="81" t="n"/>
      <c r="O71" s="81" t="inlineStr">
        <is>
          <t>扩充包</t>
        </is>
      </c>
      <c r="P71" s="80" t="inlineStr">
        <is>
          <t>朱&amp;紫第一弹「亘古开来」（CSV1c），2025-01-17发售；可选瘦盒/肥盒/散包/原箱。</t>
        </is>
      </c>
      <c r="Q71" s="80" t="n"/>
      <c r="R71" s="80" t="inlineStr">
        <is>
          <t>csv1c-slim-pack-简中</t>
        </is>
      </c>
      <c r="S71" s="81" t="inlineStr">
        <is>
          <t>Pokemon</t>
        </is>
      </c>
      <c r="T71" s="80" t="n"/>
    </row>
    <row r="72" hidden="1" outlineLevel="1" ht="17" customHeight="1" s="59">
      <c r="A72" s="80" t="inlineStr">
        <is>
          <t>补充包 亘古开来 瘦盒 BOX（简中）</t>
        </is>
      </c>
      <c r="B72" s="80" t="inlineStr">
        <is>
          <t>朱・紫 CSV1c</t>
        </is>
      </c>
      <c r="C72" s="81" t="inlineStr">
        <is>
          <t>瘦盒</t>
        </is>
      </c>
      <c r="D72" s="82" t="inlineStr">
        <is>
          <t>原箱</t>
        </is>
      </c>
      <c r="E72" s="81" t="inlineStr">
        <is>
          <t>售罄</t>
        </is>
      </c>
      <c r="F72" s="81" t="n">
        <v>0</v>
      </c>
      <c r="G72" s="81" t="n">
        <v>0</v>
      </c>
      <c r="H72" s="81" t="n"/>
      <c r="I72" s="81" t="inlineStr">
        <is>
          <t>简中</t>
        </is>
      </c>
      <c r="J72" s="81" t="inlineStr">
        <is>
          <t>否</t>
        </is>
      </c>
      <c r="K72" s="81" t="inlineStr">
        <is>
          <t>否</t>
        </is>
      </c>
      <c r="L72" s="81" t="n">
        <v>6</v>
      </c>
      <c r="M72" s="80" t="inlineStr">
        <is>
          <t>/products/csv1c-slim.png</t>
        </is>
      </c>
      <c r="N72" s="81" t="n"/>
      <c r="O72" s="81" t="inlineStr">
        <is>
          <t>扩充包</t>
        </is>
      </c>
      <c r="P72" s="80" t="inlineStr">
        <is>
          <t>朱&amp;紫第一弹「亘古开来」（CSV1c），2025-01-17发售；可选瘦盒/肥盒/散包/原箱。</t>
        </is>
      </c>
      <c r="Q72" s="80" t="n"/>
      <c r="R72" s="80" t="inlineStr">
        <is>
          <t>csv1c-slim-case-简中</t>
        </is>
      </c>
      <c r="S72" s="81" t="inlineStr">
        <is>
          <t>Pokemon</t>
        </is>
      </c>
      <c r="T72" s="80" t="n"/>
    </row>
    <row r="73" collapsed="1" ht="18" customHeight="1" s="59">
      <c r="A73" s="83" t="inlineStr">
        <is>
          <t>补充包 亘古开来 肥盒 BOX（简中）</t>
        </is>
      </c>
      <c r="B73" s="83" t="inlineStr">
        <is>
          <t>朱・紫 CSV1c</t>
        </is>
      </c>
      <c r="C73" s="84" t="inlineStr">
        <is>
          <t>肥盒</t>
        </is>
      </c>
      <c r="D73" s="79" t="inlineStr">
        <is>
          <t>原盒</t>
        </is>
      </c>
      <c r="E73" s="84" t="inlineStr">
        <is>
          <t>售罄</t>
        </is>
      </c>
      <c r="F73" s="84" t="n">
        <v>0</v>
      </c>
      <c r="G73" s="84" t="n">
        <v>0</v>
      </c>
      <c r="H73" s="84" t="n"/>
      <c r="I73" s="84" t="inlineStr">
        <is>
          <t>简中</t>
        </is>
      </c>
      <c r="J73" s="84" t="inlineStr">
        <is>
          <t>否</t>
        </is>
      </c>
      <c r="K73" s="84" t="inlineStr">
        <is>
          <t>否</t>
        </is>
      </c>
      <c r="L73" s="84" t="n">
        <v>6</v>
      </c>
      <c r="M73" s="83" t="inlineStr">
        <is>
          <t>/products/csv1c-fat.png</t>
        </is>
      </c>
      <c r="N73" s="84" t="n"/>
      <c r="O73" s="84" t="inlineStr">
        <is>
          <t>扩充包</t>
        </is>
      </c>
      <c r="P73" s="83" t="inlineStr">
        <is>
          <t>朱&amp;紫第一弹「亘古开来」（CSV1c），2025-01-17发售；可选瘦盒/肥盒/散包/原箱。</t>
        </is>
      </c>
      <c r="Q73" s="83" t="n"/>
      <c r="R73" s="83" t="inlineStr">
        <is>
          <t>csv1c-fat-box-简中</t>
        </is>
      </c>
      <c r="S73" s="84" t="inlineStr">
        <is>
          <t>Pokemon</t>
        </is>
      </c>
      <c r="T73" s="83" t="n"/>
    </row>
    <row r="74" hidden="1" outlineLevel="1" ht="17" customHeight="1" s="59">
      <c r="A74" s="80" t="inlineStr">
        <is>
          <t>补充包 亘古开来 肥盒 BOX（简中）</t>
        </is>
      </c>
      <c r="B74" s="80" t="inlineStr">
        <is>
          <t>朱・紫 CSV1c</t>
        </is>
      </c>
      <c r="C74" s="81" t="inlineStr">
        <is>
          <t>肥盒</t>
        </is>
      </c>
      <c r="D74" s="82" t="inlineStr">
        <is>
          <t>散包</t>
        </is>
      </c>
      <c r="E74" s="81" t="inlineStr">
        <is>
          <t>售罄</t>
        </is>
      </c>
      <c r="F74" s="81" t="n">
        <v>0</v>
      </c>
      <c r="G74" s="81" t="n">
        <v>0</v>
      </c>
      <c r="H74" s="81" t="n"/>
      <c r="I74" s="81" t="inlineStr">
        <is>
          <t>简中</t>
        </is>
      </c>
      <c r="J74" s="81" t="inlineStr">
        <is>
          <t>否</t>
        </is>
      </c>
      <c r="K74" s="81" t="inlineStr">
        <is>
          <t>否</t>
        </is>
      </c>
      <c r="L74" s="81" t="n">
        <v>6</v>
      </c>
      <c r="M74" s="80" t="inlineStr">
        <is>
          <t>/products/csv1c-fat.png</t>
        </is>
      </c>
      <c r="N74" s="81" t="n"/>
      <c r="O74" s="81" t="inlineStr">
        <is>
          <t>扩充包</t>
        </is>
      </c>
      <c r="P74" s="80" t="inlineStr">
        <is>
          <t>朱&amp;紫第一弹「亘古开来」（CSV1c），2025-01-17发售；可选瘦盒/肥盒/散包/原箱。</t>
        </is>
      </c>
      <c r="Q74" s="80" t="n"/>
      <c r="R74" s="80" t="inlineStr">
        <is>
          <t>csv1c-fat-pack-简中</t>
        </is>
      </c>
      <c r="S74" s="81" t="inlineStr">
        <is>
          <t>Pokemon</t>
        </is>
      </c>
      <c r="T74" s="80" t="n"/>
    </row>
    <row r="75" hidden="1" outlineLevel="1" ht="17" customHeight="1" s="59">
      <c r="A75" s="80" t="inlineStr">
        <is>
          <t>补充包 亘古开来 肥盒 BOX（简中）</t>
        </is>
      </c>
      <c r="B75" s="80" t="inlineStr">
        <is>
          <t>朱・紫 CSV1c</t>
        </is>
      </c>
      <c r="C75" s="81" t="inlineStr">
        <is>
          <t>肥盒</t>
        </is>
      </c>
      <c r="D75" s="82" t="inlineStr">
        <is>
          <t>原箱</t>
        </is>
      </c>
      <c r="E75" s="81" t="inlineStr">
        <is>
          <t>售罄</t>
        </is>
      </c>
      <c r="F75" s="81" t="n">
        <v>0</v>
      </c>
      <c r="G75" s="81" t="n">
        <v>0</v>
      </c>
      <c r="H75" s="81" t="n"/>
      <c r="I75" s="81" t="inlineStr">
        <is>
          <t>简中</t>
        </is>
      </c>
      <c r="J75" s="81" t="inlineStr">
        <is>
          <t>否</t>
        </is>
      </c>
      <c r="K75" s="81" t="inlineStr">
        <is>
          <t>否</t>
        </is>
      </c>
      <c r="L75" s="81" t="n">
        <v>6</v>
      </c>
      <c r="M75" s="80" t="inlineStr">
        <is>
          <t>/products/csv1c-fat.png</t>
        </is>
      </c>
      <c r="N75" s="81" t="n"/>
      <c r="O75" s="81" t="inlineStr">
        <is>
          <t>扩充包</t>
        </is>
      </c>
      <c r="P75" s="80" t="inlineStr">
        <is>
          <t>朱&amp;紫第一弹「亘古开来」（CSV1c），2025-01-17发售；可选瘦盒/肥盒/散包/原箱。</t>
        </is>
      </c>
      <c r="Q75" s="80" t="n"/>
      <c r="R75" s="80" t="inlineStr">
        <is>
          <t>csv1c-fat-case-简中</t>
        </is>
      </c>
      <c r="S75" s="81" t="inlineStr">
        <is>
          <t>Pokemon</t>
        </is>
      </c>
      <c r="T75" s="80" t="n"/>
    </row>
    <row r="76" collapsed="1" ht="20" customHeight="1" s="59">
      <c r="A76" s="75" t="inlineStr">
        <is>
          <t>朱・紫 · 礼盒 / 套装 / 周边</t>
        </is>
      </c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</row>
    <row r="77" ht="18" customHeight="1" s="59">
      <c r="A77" s="77" t="inlineStr">
        <is>
          <t>N对战套装礼盒（简中）</t>
        </is>
      </c>
      <c r="B77" s="77" t="inlineStr">
        <is>
          <t>朱・紫 CSV10c</t>
        </is>
      </c>
      <c r="C77" s="78" t="inlineStr">
        <is>
          <t>礼盒</t>
        </is>
      </c>
      <c r="D77" s="79" t="inlineStr">
        <is>
          <t>原盒</t>
        </is>
      </c>
      <c r="E77" s="78" t="inlineStr">
        <is>
          <t>预售</t>
        </is>
      </c>
      <c r="F77" s="78" t="n">
        <v>0</v>
      </c>
      <c r="G77" s="78" t="n">
        <v>8500</v>
      </c>
      <c r="H77" s="78" t="n">
        <v>310</v>
      </c>
      <c r="I77" s="78" t="inlineStr">
        <is>
          <t>简中</t>
        </is>
      </c>
      <c r="J77" s="78" t="inlineStr">
        <is>
          <t>是</t>
        </is>
      </c>
      <c r="K77" s="78" t="inlineStr">
        <is>
          <t>否</t>
        </is>
      </c>
      <c r="L77" s="78" t="n">
        <v>6</v>
      </c>
      <c r="M77" s="77" t="inlineStr">
        <is>
          <t>/products/csv10c-slim.png</t>
        </is>
      </c>
      <c r="N77" s="78" t="n"/>
      <c r="O77" s="78" t="inlineStr">
        <is>
          <t>礼盒</t>
        </is>
      </c>
      <c r="P77" s="77" t="inlineStr">
        <is>
          <t>2026-07-16发售，零售价390元。含共逐荣光补充包6包+N主题艺术卡套64张+对战周边配件。</t>
        </is>
      </c>
      <c r="Q77" s="77" t="inlineStr">
        <is>
          <t>be35f8f92e5443d598b98d</t>
        </is>
      </c>
      <c r="R77" s="77" t="inlineStr">
        <is>
          <t>n-battle-box-简中</t>
        </is>
      </c>
      <c r="S77" s="78" t="inlineStr">
        <is>
          <t>Pokemon</t>
        </is>
      </c>
      <c r="T77" s="77" t="inlineStr">
        <is>
          <t>https://pimart-card-production.up.railway.app/products/n-battle-box-简中</t>
        </is>
      </c>
    </row>
    <row r="78" collapsed="1" ht="18" customHeight="1" s="59">
      <c r="A78" s="83" t="inlineStr">
        <is>
          <t>伊布套装礼盒（简中）</t>
        </is>
      </c>
      <c r="B78" s="83" t="inlineStr">
        <is>
          <t>朱・紫 太晶盛聚</t>
        </is>
      </c>
      <c r="C78" s="84" t="inlineStr">
        <is>
          <t>礼盒</t>
        </is>
      </c>
      <c r="D78" s="79" t="inlineStr">
        <is>
          <t>原盒</t>
        </is>
      </c>
      <c r="E78" s="84" t="inlineStr">
        <is>
          <t>在售</t>
        </is>
      </c>
      <c r="F78" s="84" t="n">
        <v>0</v>
      </c>
      <c r="G78" s="84" t="n">
        <v>8200</v>
      </c>
      <c r="H78" s="84" t="n">
        <v>310</v>
      </c>
      <c r="I78" s="84" t="inlineStr">
        <is>
          <t>简中</t>
        </is>
      </c>
      <c r="J78" s="84" t="inlineStr">
        <is>
          <t>否</t>
        </is>
      </c>
      <c r="K78" s="84" t="inlineStr">
        <is>
          <t>否</t>
        </is>
      </c>
      <c r="L78" s="84" t="n">
        <v>6</v>
      </c>
      <c r="M78" s="83" t="inlineStr">
        <is>
          <t>/products/eevee-gift-box.png</t>
        </is>
      </c>
      <c r="N78" s="84" t="n"/>
      <c r="O78" s="84" t="inlineStr">
        <is>
          <t>礼盒</t>
        </is>
      </c>
      <c r="P78" s="83" t="inlineStr">
        <is>
          <t>2026-05-25发售。含太晶盛聚补充包8包（10张装）+伊布进化主题收藏卡册+主题艺术卡套64张，零售价390元，共9款可选。</t>
        </is>
      </c>
      <c r="Q78" s="83" t="inlineStr">
        <is>
          <t>c40333cd00c34215ba9850</t>
        </is>
      </c>
      <c r="R78" s="83" t="inlineStr">
        <is>
          <t>eevee-gift-box-简中</t>
        </is>
      </c>
      <c r="S78" s="84" t="inlineStr">
        <is>
          <t>Pokemon</t>
        </is>
      </c>
      <c r="T78" s="83" t="inlineStr">
        <is>
          <t>https://pimart-card-production.up.railway.app/products/eevee-gift-box-简中</t>
        </is>
      </c>
    </row>
    <row r="79" ht="18" customHeight="1" s="59">
      <c r="A79" s="77" t="inlineStr">
        <is>
          <t>大师战略卡组构筑套装 多龙巴鲁托ex（简中）</t>
        </is>
      </c>
      <c r="B79" s="77" t="inlineStr">
        <is>
          <t>朱・紫 CSV10c</t>
        </is>
      </c>
      <c r="C79" s="78" t="inlineStr">
        <is>
          <t>构筑套装</t>
        </is>
      </c>
      <c r="D79" s="79" t="inlineStr">
        <is>
          <t>原盒</t>
        </is>
      </c>
      <c r="E79" s="78" t="inlineStr">
        <is>
          <t>预售</t>
        </is>
      </c>
      <c r="F79" s="78" t="n">
        <v>0</v>
      </c>
      <c r="G79" s="78" t="n">
        <v>8500</v>
      </c>
      <c r="H79" s="78" t="n">
        <v>310</v>
      </c>
      <c r="I79" s="78" t="inlineStr">
        <is>
          <t>简中</t>
        </is>
      </c>
      <c r="J79" s="78" t="inlineStr">
        <is>
          <t>是</t>
        </is>
      </c>
      <c r="K79" s="78" t="inlineStr">
        <is>
          <t>否</t>
        </is>
      </c>
      <c r="L79" s="78" t="n">
        <v>6</v>
      </c>
      <c r="M79" s="77" t="inlineStr">
        <is>
          <t>/products/csv10c-slim.png</t>
        </is>
      </c>
      <c r="N79" s="78" t="n"/>
      <c r="O79" s="78" t="inlineStr">
        <is>
          <t>套装</t>
        </is>
      </c>
      <c r="P79" s="77" t="inlineStr">
        <is>
          <t>2026-07-16发售，零售价390元。含多龙巴鲁托ex主题卡组60张+改造包15张+共逐荣光补充包4包(20张装)+卡套+周边配件。</t>
        </is>
      </c>
      <c r="Q79" s="77" t="inlineStr">
        <is>
          <t>1bce95fa937d4c049bfc77</t>
        </is>
      </c>
      <c r="R79" s="77" t="inlineStr">
        <is>
          <t>master-deck-多龙巴鲁托ex-简中</t>
        </is>
      </c>
      <c r="S79" s="78" t="inlineStr">
        <is>
          <t>Pokemon</t>
        </is>
      </c>
      <c r="T79" s="77" t="inlineStr">
        <is>
          <t>https://pimart-card-production.up.railway.app/products/master-deck-多龙巴鲁托ex-简中</t>
        </is>
      </c>
    </row>
    <row r="80" ht="18" customHeight="1" s="59">
      <c r="A80" s="83" t="inlineStr">
        <is>
          <t>大师战略卡组构筑套装 猛雷鼓ex（简中）</t>
        </is>
      </c>
      <c r="B80" s="83" t="inlineStr">
        <is>
          <t>朱・紫 CSV10c</t>
        </is>
      </c>
      <c r="C80" s="84" t="inlineStr">
        <is>
          <t>构筑套装</t>
        </is>
      </c>
      <c r="D80" s="79" t="inlineStr">
        <is>
          <t>原盒</t>
        </is>
      </c>
      <c r="E80" s="84" t="inlineStr">
        <is>
          <t>预售</t>
        </is>
      </c>
      <c r="F80" s="84" t="n">
        <v>0</v>
      </c>
      <c r="G80" s="84" t="n">
        <v>8500</v>
      </c>
      <c r="H80" s="84" t="n">
        <v>310</v>
      </c>
      <c r="I80" s="84" t="inlineStr">
        <is>
          <t>简中</t>
        </is>
      </c>
      <c r="J80" s="84" t="inlineStr">
        <is>
          <t>是</t>
        </is>
      </c>
      <c r="K80" s="84" t="inlineStr">
        <is>
          <t>否</t>
        </is>
      </c>
      <c r="L80" s="84" t="n">
        <v>6</v>
      </c>
      <c r="M80" s="83" t="inlineStr">
        <is>
          <t>/products/csv10c-slim.png</t>
        </is>
      </c>
      <c r="N80" s="84" t="n"/>
      <c r="O80" s="84" t="inlineStr">
        <is>
          <t>套装</t>
        </is>
      </c>
      <c r="P80" s="83" t="inlineStr">
        <is>
          <t>2026-07-16发售，零售价390元。含猛雷鼓ex主题卡组60张+改造包15张+共逐荣光补充包4包(20张装)+卡套+周边配件。</t>
        </is>
      </c>
      <c r="Q80" s="83" t="inlineStr">
        <is>
          <t>275dcfaa8f9f481284bcd4</t>
        </is>
      </c>
      <c r="R80" s="83" t="inlineStr">
        <is>
          <t>master-deck-猛雷鼓ex-简中</t>
        </is>
      </c>
      <c r="S80" s="84" t="inlineStr">
        <is>
          <t>Pokemon</t>
        </is>
      </c>
      <c r="T80" s="83" t="inlineStr">
        <is>
          <t>https://pimart-card-production.up.railway.app/products/master-deck-猛雷鼓ex-简中</t>
        </is>
      </c>
    </row>
    <row r="81" ht="18" customHeight="1" s="59">
      <c r="A81" s="77" t="inlineStr">
        <is>
          <t>大师战略卡组构筑套装 赛富豪ex（简中）</t>
        </is>
      </c>
      <c r="B81" s="77" t="inlineStr">
        <is>
          <t>朱・紫 CSV10c</t>
        </is>
      </c>
      <c r="C81" s="78" t="inlineStr">
        <is>
          <t>构筑套装</t>
        </is>
      </c>
      <c r="D81" s="79" t="inlineStr">
        <is>
          <t>原盒</t>
        </is>
      </c>
      <c r="E81" s="78" t="inlineStr">
        <is>
          <t>预售</t>
        </is>
      </c>
      <c r="F81" s="78" t="n">
        <v>0</v>
      </c>
      <c r="G81" s="78" t="n">
        <v>8500</v>
      </c>
      <c r="H81" s="78" t="n">
        <v>310</v>
      </c>
      <c r="I81" s="78" t="inlineStr">
        <is>
          <t>简中</t>
        </is>
      </c>
      <c r="J81" s="78" t="inlineStr">
        <is>
          <t>是</t>
        </is>
      </c>
      <c r="K81" s="78" t="inlineStr">
        <is>
          <t>否</t>
        </is>
      </c>
      <c r="L81" s="78" t="n">
        <v>6</v>
      </c>
      <c r="M81" s="77" t="inlineStr">
        <is>
          <t>/products/csv10c-slim.png</t>
        </is>
      </c>
      <c r="N81" s="78" t="n"/>
      <c r="O81" s="78" t="inlineStr">
        <is>
          <t>套装</t>
        </is>
      </c>
      <c r="P81" s="77" t="inlineStr">
        <is>
          <t>2026-07-16发售，零售价390元。含赛富豪ex主题卡组60张+改造包15张+共逐荣光补充包4包(20张装)+卡套+周边配件。</t>
        </is>
      </c>
      <c r="Q81" s="77" t="inlineStr">
        <is>
          <t>b2bbb8897bfa4ba7aad352</t>
        </is>
      </c>
      <c r="R81" s="77" t="inlineStr">
        <is>
          <t>master-deck-赛富豪ex-简中</t>
        </is>
      </c>
      <c r="S81" s="78" t="inlineStr">
        <is>
          <t>Pokemon</t>
        </is>
      </c>
      <c r="T81" s="77" t="inlineStr">
        <is>
          <t>https://pimart-card-production.up.railway.app/products/master-deck-赛富豪ex-简中</t>
        </is>
      </c>
    </row>
    <row r="82" ht="18" customHeight="1" s="59">
      <c r="A82" s="83" t="inlineStr">
        <is>
          <t>宝可梦卡牌嗨皮组合（简中）</t>
        </is>
      </c>
      <c r="B82" s="83" t="inlineStr">
        <is>
          <t>朱・紫 CSV10c</t>
        </is>
      </c>
      <c r="C82" s="84" t="inlineStr">
        <is>
          <t>对战套装</t>
        </is>
      </c>
      <c r="D82" s="79" t="inlineStr">
        <is>
          <t>原盒</t>
        </is>
      </c>
      <c r="E82" s="84" t="inlineStr">
        <is>
          <t>预售</t>
        </is>
      </c>
      <c r="F82" s="84" t="n">
        <v>0</v>
      </c>
      <c r="G82" s="84" t="n">
        <v>2000</v>
      </c>
      <c r="H82" s="84" t="n">
        <v>72</v>
      </c>
      <c r="I82" s="84" t="inlineStr">
        <is>
          <t>简中</t>
        </is>
      </c>
      <c r="J82" s="84" t="inlineStr">
        <is>
          <t>是</t>
        </is>
      </c>
      <c r="K82" s="84" t="inlineStr">
        <is>
          <t>否</t>
        </is>
      </c>
      <c r="L82" s="84" t="n">
        <v>6</v>
      </c>
      <c r="M82" s="83" t="inlineStr">
        <is>
          <t>/products/csv10c-slim.png</t>
        </is>
      </c>
      <c r="N82" s="84" t="n"/>
      <c r="O82" s="84" t="inlineStr">
        <is>
          <t>套装</t>
        </is>
      </c>
      <c r="P82" s="83" t="inlineStr">
        <is>
          <t>2026-07-16发售，零售价88元。含快龙ex/超梦ex/喷火驼/来悲粗茶4套60张卡组+嗨皮包7包+改造包+入门配件，适合新手。</t>
        </is>
      </c>
      <c r="Q82" s="83" t="inlineStr">
        <is>
          <t>abb263eb1fef45b6afbba3</t>
        </is>
      </c>
      <c r="R82" s="83" t="inlineStr">
        <is>
          <t>happy-combo-简中</t>
        </is>
      </c>
      <c r="S82" s="84" t="inlineStr">
        <is>
          <t>Pokemon</t>
        </is>
      </c>
      <c r="T82" s="83" t="inlineStr">
        <is>
          <t>https://pimart-card-production.up.railway.app/products/happy-combo-简中</t>
        </is>
      </c>
    </row>
    <row r="83" ht="18" customHeight="1" s="59">
      <c r="A83" s="77" t="inlineStr">
        <is>
          <t>火箭队的宏图专属礼盒（简中）</t>
        </is>
      </c>
      <c r="B83" s="77" t="inlineStr">
        <is>
          <t>朱・紫 CSV10c</t>
        </is>
      </c>
      <c r="C83" s="78" t="inlineStr">
        <is>
          <t>专属礼盒</t>
        </is>
      </c>
      <c r="D83" s="79" t="inlineStr">
        <is>
          <t>原盒</t>
        </is>
      </c>
      <c r="E83" s="78" t="inlineStr">
        <is>
          <t>预售</t>
        </is>
      </c>
      <c r="F83" s="78" t="n">
        <v>0</v>
      </c>
      <c r="G83" s="78" t="n">
        <v>8500</v>
      </c>
      <c r="H83" s="78" t="n">
        <v>310</v>
      </c>
      <c r="I83" s="78" t="inlineStr">
        <is>
          <t>简中</t>
        </is>
      </c>
      <c r="J83" s="78" t="inlineStr">
        <is>
          <t>是</t>
        </is>
      </c>
      <c r="K83" s="78" t="inlineStr">
        <is>
          <t>否</t>
        </is>
      </c>
      <c r="L83" s="78" t="n">
        <v>6</v>
      </c>
      <c r="M83" s="77" t="inlineStr">
        <is>
          <t>/products/csv10c-slim.png</t>
        </is>
      </c>
      <c r="N83" s="78" t="n"/>
      <c r="O83" s="78" t="inlineStr">
        <is>
          <t>礼盒</t>
        </is>
      </c>
      <c r="P83" s="77" t="inlineStr">
        <is>
          <t>2026-07-16发售。以火箭队「R」为主题，内含共逐荣光相关补充包及周边，具体内容待官方公布。</t>
        </is>
      </c>
      <c r="Q83" s="77" t="inlineStr">
        <is>
          <t>107629b3456f418aabf4af</t>
        </is>
      </c>
      <c r="R83" s="77" t="inlineStr">
        <is>
          <t>rocket-gang-special-box-简中</t>
        </is>
      </c>
      <c r="S83" s="78" t="inlineStr">
        <is>
          <t>Pokemon</t>
        </is>
      </c>
      <c r="T83" s="77" t="inlineStr">
        <is>
          <t>https://pimart-card-production.up.railway.app/products/rocket-gang-special-box-简中</t>
        </is>
      </c>
    </row>
    <row r="84" ht="18" customHeight="1" s="59">
      <c r="A84" s="83" t="inlineStr">
        <is>
          <t>莉莉艾对战套装礼盒（简中）</t>
        </is>
      </c>
      <c r="B84" s="83" t="inlineStr">
        <is>
          <t>朱・紫 CSV10c</t>
        </is>
      </c>
      <c r="C84" s="84" t="inlineStr">
        <is>
          <t>礼盒</t>
        </is>
      </c>
      <c r="D84" s="79" t="inlineStr">
        <is>
          <t>原盒</t>
        </is>
      </c>
      <c r="E84" s="84" t="inlineStr">
        <is>
          <t>售罄</t>
        </is>
      </c>
      <c r="F84" s="84" t="n"/>
      <c r="G84" s="84" t="n"/>
      <c r="H84" s="84" t="n"/>
      <c r="I84" s="84" t="n"/>
      <c r="J84" s="84" t="n"/>
      <c r="K84" s="84" t="n"/>
      <c r="L84" s="84" t="n"/>
      <c r="M84" s="83" t="inlineStr">
        <is>
          <t>/products/csv10c-slim.png</t>
        </is>
      </c>
      <c r="N84" s="84" t="n"/>
      <c r="O84" s="84" t="inlineStr">
        <is>
          <t>礼盒</t>
        </is>
      </c>
      <c r="P84" s="83" t="inlineStr">
        <is>
          <t>2026-07-16发售，零售价390元。含共逐荣光补充包6包+莉莉艾主题艺术卡套64张+对战周边配件。</t>
        </is>
      </c>
      <c r="Q84" s="83" t="inlineStr">
        <is>
          <t>33ed6daaea51487f9dfec7</t>
        </is>
      </c>
      <c r="R84" s="83" t="inlineStr">
        <is>
          <t>lillie-battle-box-简中</t>
        </is>
      </c>
      <c r="S84" s="84" t="inlineStr">
        <is>
          <t>Pokemon</t>
        </is>
      </c>
      <c r="T84" s="83" t="inlineStr">
        <is>
          <t>https://pimart-card-production.up.railway.app/products/lillie-battle-box-简中</t>
        </is>
      </c>
    </row>
    <row r="85" collapsed="1" ht="18" customHeight="1" s="59">
      <c r="A85" s="77" t="inlineStr">
        <is>
          <t>补充包 强化扩张包 朱紫ex BOX（简中）</t>
        </is>
      </c>
      <c r="B85" s="77" t="inlineStr">
        <is>
          <t>朱・紫ex</t>
        </is>
      </c>
      <c r="C85" s="78" t="inlineStr">
        <is>
          <t>强化扩张包</t>
        </is>
      </c>
      <c r="D85" s="79" t="inlineStr">
        <is>
          <t>原盒</t>
        </is>
      </c>
      <c r="E85" s="78" t="inlineStr">
        <is>
          <t>在售</t>
        </is>
      </c>
      <c r="F85" s="78" t="n">
        <v>10</v>
      </c>
      <c r="G85" s="78" t="n">
        <v>3200</v>
      </c>
      <c r="H85" s="78" t="n">
        <v>85.84999999999999</v>
      </c>
      <c r="I85" s="78" t="inlineStr">
        <is>
          <t>简中</t>
        </is>
      </c>
      <c r="J85" s="78" t="inlineStr">
        <is>
          <t>否</t>
        </is>
      </c>
      <c r="K85" s="78" t="inlineStr">
        <is>
          <t>是</t>
        </is>
      </c>
      <c r="L85" s="78" t="n">
        <v>6</v>
      </c>
      <c r="M85" s="77" t="inlineStr">
        <is>
          <t>/products/csv1c-box.png</t>
        </is>
      </c>
      <c r="N85" s="78" t="n"/>
      <c r="O85" s="78" t="inlineStr">
        <is>
          <t>扩充包</t>
        </is>
      </c>
      <c r="P85" s="77" t="inlineStr">
        <is>
          <t>官网：朱&amp;紫 强化扩张包（非某弹瘦盒配对，独立SKU）。 | 简中宝可梦卡牌游戏 朱・紫ex 强化扩展包原盒，现货发售。</t>
        </is>
      </c>
      <c r="Q85" s="77" t="inlineStr">
        <is>
          <t>cmqtx5qy80000kwdkxlxvkqsb</t>
        </is>
      </c>
      <c r="R85" s="77" t="inlineStr">
        <is>
          <t>朱-紫ex-強化拡張パック-box-简中</t>
        </is>
      </c>
      <c r="S85" s="78" t="inlineStr">
        <is>
          <t>Pokemon</t>
        </is>
      </c>
      <c r="T85" s="77" t="inlineStr">
        <is>
          <t>https://pimart-card-production.up.railway.app/products/%E6%9C%B1-%E7%B4%ABex-%E5%BC%B7%E5%8C%96%E6%8B%A1%E5%BC%B5%E3%83%91%E3%83%83%E3%82%AF-box-%E7%AE%80%E4%B8%AD</t>
        </is>
      </c>
    </row>
    <row r="86" hidden="1" outlineLevel="1" ht="17" customHeight="1" s="59">
      <c r="A86" s="80" t="inlineStr">
        <is>
          <t>补充包 强化扩张包 朱紫ex BOX（简中）</t>
        </is>
      </c>
      <c r="B86" s="80" t="inlineStr">
        <is>
          <t>朱・紫ex</t>
        </is>
      </c>
      <c r="C86" s="81" t="inlineStr">
        <is>
          <t>强化扩张包</t>
        </is>
      </c>
      <c r="D86" s="82" t="inlineStr">
        <is>
          <t>散包</t>
        </is>
      </c>
      <c r="E86" s="81" t="inlineStr">
        <is>
          <t>在售</t>
        </is>
      </c>
      <c r="F86" s="81" t="n"/>
      <c r="G86" s="81" t="n"/>
      <c r="H86" s="81" t="n">
        <v>85.84999999999999</v>
      </c>
      <c r="I86" s="81" t="inlineStr">
        <is>
          <t>简中</t>
        </is>
      </c>
      <c r="J86" s="81" t="inlineStr">
        <is>
          <t>否</t>
        </is>
      </c>
      <c r="K86" s="81" t="inlineStr">
        <is>
          <t>是</t>
        </is>
      </c>
      <c r="L86" s="81" t="n">
        <v>6</v>
      </c>
      <c r="M86" s="80" t="inlineStr">
        <is>
          <t>/products/csv1c-box.png</t>
        </is>
      </c>
      <c r="N86" s="81" t="n"/>
      <c r="O86" s="81" t="inlineStr">
        <is>
          <t>扩充包</t>
        </is>
      </c>
      <c r="P86" s="80" t="inlineStr">
        <is>
          <t>官网：朱&amp;紫 强化扩张包（非某弹瘦盒配对，独立SKU）。 | 简中宝可梦卡牌游戏 朱・紫ex 强化扩展包原盒，现货发售。</t>
        </is>
      </c>
      <c r="Q86" s="80" t="inlineStr">
        <is>
          <t>cmqtx5qy80000kwdkxlxvkqsb</t>
        </is>
      </c>
      <c r="R86" s="80" t="inlineStr">
        <is>
          <t>朱-紫ex-強化拡張パック-box-简中</t>
        </is>
      </c>
      <c r="S86" s="81" t="inlineStr">
        <is>
          <t>Pokemon</t>
        </is>
      </c>
      <c r="T86" s="80" t="inlineStr">
        <is>
          <t>https://pimart-card-production.up.railway.app/products/%E6%9C%B1-%E7%B4%ABex-%E5%BC%B7%E5%8C%96%E6%8B%A1%E5%BC%B5%E3%83%91%E3%83%83%E3%82%AF-box-%E7%AE%80%E4%B8%AD</t>
        </is>
      </c>
    </row>
    <row r="87" hidden="1" outlineLevel="1" ht="17" customHeight="1" s="59">
      <c r="A87" s="80" t="inlineStr">
        <is>
          <t>补充包 强化扩张包 朱紫ex BOX（简中）</t>
        </is>
      </c>
      <c r="B87" s="80" t="inlineStr">
        <is>
          <t>朱・紫ex</t>
        </is>
      </c>
      <c r="C87" s="81" t="inlineStr">
        <is>
          <t>强化扩张包</t>
        </is>
      </c>
      <c r="D87" s="82" t="inlineStr">
        <is>
          <t>原箱</t>
        </is>
      </c>
      <c r="E87" s="81" t="inlineStr">
        <is>
          <t>在售</t>
        </is>
      </c>
      <c r="F87" s="81" t="n"/>
      <c r="G87" s="81" t="n"/>
      <c r="H87" s="81" t="n">
        <v>85.84999999999999</v>
      </c>
      <c r="I87" s="81" t="inlineStr">
        <is>
          <t>简中</t>
        </is>
      </c>
      <c r="J87" s="81" t="inlineStr">
        <is>
          <t>否</t>
        </is>
      </c>
      <c r="K87" s="81" t="inlineStr">
        <is>
          <t>是</t>
        </is>
      </c>
      <c r="L87" s="81" t="n">
        <v>6</v>
      </c>
      <c r="M87" s="80" t="inlineStr">
        <is>
          <t>/products/csv1c-box.png</t>
        </is>
      </c>
      <c r="N87" s="81" t="n"/>
      <c r="O87" s="81" t="inlineStr">
        <is>
          <t>扩充包</t>
        </is>
      </c>
      <c r="P87" s="80" t="inlineStr">
        <is>
          <t>官网：朱&amp;紫 强化扩张包（非某弹瘦盒配对，独立SKU）。 | 简中宝可梦卡牌游戏 朱・紫ex 强化扩展包原盒，现货发售。</t>
        </is>
      </c>
      <c r="Q87" s="80" t="inlineStr">
        <is>
          <t>cmqtx5qy80000kwdkxlxvkqsb</t>
        </is>
      </c>
      <c r="R87" s="80" t="inlineStr">
        <is>
          <t>朱-紫ex-強化拡張パック-box-简中</t>
        </is>
      </c>
      <c r="S87" s="81" t="inlineStr">
        <is>
          <t>Pokemon</t>
        </is>
      </c>
      <c r="T87" s="80" t="inlineStr">
        <is>
          <t>https://pimart-card-production.up.railway.app/products/%E6%9C%B1-%E7%B4%ABex-%E5%BC%B7%E5%8C%96%E6%8B%A1%E5%BC%B5%E3%83%91%E3%83%83%E3%82%AF-box-%E7%AE%80%E4%B8%AD</t>
        </is>
      </c>
    </row>
    <row r="88" collapsed="1" ht="18" customHeight="1" s="59">
      <c r="A88" s="83" t="inlineStr">
        <is>
          <t>雪危险+泥土猛击 双包（简中）</t>
        </is>
      </c>
      <c r="B88" s="83" t="inlineStr">
        <is>
          <t>朱・紫</t>
        </is>
      </c>
      <c r="C88" s="84" t="inlineStr">
        <is>
          <t>礼盒</t>
        </is>
      </c>
      <c r="D88" s="79" t="inlineStr">
        <is>
          <t>原盒</t>
        </is>
      </c>
      <c r="E88" s="84" t="inlineStr">
        <is>
          <t>预售</t>
        </is>
      </c>
      <c r="F88" s="84" t="n">
        <v>15</v>
      </c>
      <c r="G88" s="84" t="n">
        <v>6800</v>
      </c>
      <c r="H88" s="84" t="n">
        <v>182.44</v>
      </c>
      <c r="I88" s="84" t="inlineStr">
        <is>
          <t>简中</t>
        </is>
      </c>
      <c r="J88" s="84" t="inlineStr">
        <is>
          <t>是</t>
        </is>
      </c>
      <c r="K88" s="84" t="inlineStr">
        <is>
          <t>否</t>
        </is>
      </c>
      <c r="L88" s="84" t="n">
        <v>7</v>
      </c>
      <c r="M88" s="83" t="inlineStr">
        <is>
          <t>/products/sv2-double-box.png</t>
        </is>
      </c>
      <c r="N88" s="84" t="n"/>
      <c r="O88" s="84" t="inlineStr">
        <is>
          <t>礼盒</t>
        </is>
      </c>
      <c r="P88" s="83" t="inlineStr">
        <is>
          <t>简中宝可梦 雪 Hazard + Clay Burst 双包套装，预售商品。</t>
        </is>
      </c>
      <c r="Q88" s="83" t="inlineStr">
        <is>
          <t>cmqtx5qyy0004kwdkdyvdktz2</t>
        </is>
      </c>
      <c r="R88" s="83" t="inlineStr">
        <is>
          <t>スノ-ハザ-ド-クレイバ-スト-ダブルパック-简中</t>
        </is>
      </c>
      <c r="S88" s="84" t="inlineStr">
        <is>
          <t>Pokemon</t>
        </is>
      </c>
      <c r="T88" s="83" t="inlineStr">
        <is>
          <t>https://pimart-card-production.up.railway.app/products/%E3%82%B9%E3%83%8E-%E3%83%8F%E3%82%B6-%E3%83%89-%E3%82%AF%E3%83%AC%E3%82%A4%E3%83%90-%E3%82%B9%E3%83%88-%E3%83%80%E3%83%96%E3%83%AB%E3%83%91%E3%83%83%E3%82%AF-%E7%AE%80%E4%B8%AD</t>
        </is>
      </c>
    </row>
    <row r="89" ht="18" customHeight="1" s="59">
      <c r="A89" s="77" t="inlineStr">
        <is>
          <t>黑炎霸主 BOX（简中）</t>
        </is>
      </c>
      <c r="B89" s="77" t="inlineStr">
        <is>
          <t>朱・紫</t>
        </is>
      </c>
      <c r="C89" s="78" t="inlineStr">
        <is>
          <t>礼盒</t>
        </is>
      </c>
      <c r="D89" s="79" t="inlineStr">
        <is>
          <t>原盒</t>
        </is>
      </c>
      <c r="E89" s="78" t="inlineStr">
        <is>
          <t>在售</t>
        </is>
      </c>
      <c r="F89" s="78" t="n">
        <v>8</v>
      </c>
      <c r="G89" s="78" t="n">
        <v>4200</v>
      </c>
      <c r="H89" s="78" t="n">
        <v>112.68</v>
      </c>
      <c r="I89" s="78" t="inlineStr">
        <is>
          <t>简中</t>
        </is>
      </c>
      <c r="J89" s="78" t="inlineStr">
        <is>
          <t>否</t>
        </is>
      </c>
      <c r="K89" s="78" t="inlineStr">
        <is>
          <t>否</t>
        </is>
      </c>
      <c r="L89" s="78" t="n">
        <v>5</v>
      </c>
      <c r="M89" s="77" t="inlineStr">
        <is>
          <t>/products/sv3-box.png</t>
        </is>
      </c>
      <c r="N89" s="78" t="n"/>
      <c r="O89" s="78" t="inlineStr">
        <is>
          <t>礼盒</t>
        </is>
      </c>
      <c r="P89" s="77" t="inlineStr">
        <is>
          <t>简中宝可梦 朱・紫 黑炎的支配者原盒，现货发售。</t>
        </is>
      </c>
      <c r="Q89" s="77" t="inlineStr">
        <is>
          <t>cmqtx5qys0003kwdk51e9rmsr</t>
        </is>
      </c>
      <c r="R89" s="77" t="inlineStr">
        <is>
          <t>朱-紫-黒炎の支配者-box-简中</t>
        </is>
      </c>
      <c r="S89" s="78" t="inlineStr">
        <is>
          <t>Pokemon</t>
        </is>
      </c>
      <c r="T89" s="77" t="inlineStr">
        <is>
          <t>https://pimart-card-production.up.railway.app/products/%E6%9C%B1-%E7%B4%AB-%E9%BB%92%E7%82%8E%E3%81%AE%E6%94%AF%E9%85%8D%E8%80%85-box-%E7%AE%80%E4%B8%AD</t>
        </is>
      </c>
    </row>
    <row r="90" ht="6" customHeight="1" s="59"/>
    <row r="91" collapsed="1" ht="20" customHeight="1" s="59">
      <c r="A91" s="75" t="inlineStr">
        <is>
          <t>宝石包（独立系列）</t>
        </is>
      </c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</row>
    <row r="92" ht="18" customHeight="1" s="59">
      <c r="A92" s="83" t="inlineStr">
        <is>
          <t>宝石包第五弹 BOX（简中）</t>
        </is>
      </c>
      <c r="B92" s="83" t="inlineStr">
        <is>
          <t>宝石包</t>
        </is>
      </c>
      <c r="C92" s="84" t="inlineStr">
        <is>
          <t>宝石包</t>
        </is>
      </c>
      <c r="D92" s="79" t="inlineStr">
        <is>
          <t>原盒</t>
        </is>
      </c>
      <c r="E92" s="84" t="inlineStr">
        <is>
          <t>在售</t>
        </is>
      </c>
      <c r="F92" s="84" t="n">
        <v>10</v>
      </c>
      <c r="G92" s="84" t="n">
        <v>7800</v>
      </c>
      <c r="H92" s="84" t="n">
        <v>209.27</v>
      </c>
      <c r="I92" s="84" t="inlineStr">
        <is>
          <t>简中</t>
        </is>
      </c>
      <c r="J92" s="84" t="inlineStr">
        <is>
          <t>否</t>
        </is>
      </c>
      <c r="K92" s="84" t="inlineStr">
        <is>
          <t>是</t>
        </is>
      </c>
      <c r="L92" s="84" t="n">
        <v>6</v>
      </c>
      <c r="M92" s="83" t="inlineStr">
        <is>
          <t>/products/cbb5c-box.png</t>
        </is>
      </c>
      <c r="N92" s="84" t="n"/>
      <c r="O92" s="84" t="inlineStr">
        <is>
          <t>扩充包</t>
        </is>
      </c>
      <c r="P92" s="83" t="inlineStr">
        <is>
          <t>简中宝可梦 宝石包第五弹原盒，每包含4张卡牌均为闪卡，稀有度极高。</t>
        </is>
      </c>
      <c r="Q92" s="83" t="inlineStr">
        <is>
          <t>166f979a-f782-4c9d-860d-729930933cb8</t>
        </is>
      </c>
      <c r="R92" s="83" t="inlineStr">
        <is>
          <t>宝石包第五弹-box-简中</t>
        </is>
      </c>
      <c r="S92" s="84" t="inlineStr">
        <is>
          <t>Pokemon</t>
        </is>
      </c>
      <c r="T92" s="83" t="inlineStr">
        <is>
          <t>https://pimart-card-production.up.railway.app/products/%E5%AE%9D%E7%9F%B3%E5%8C%85%E7%AC%AC%E4%BA%94%E5%BC%B9-box-%E7%AE%80%E4%B8%AD</t>
        </is>
      </c>
    </row>
    <row r="93" hidden="1" outlineLevel="1" ht="17" customHeight="1" s="59">
      <c r="A93" s="80" t="inlineStr">
        <is>
          <t>宝石包第五弹 BOX（简中）</t>
        </is>
      </c>
      <c r="B93" s="80" t="inlineStr">
        <is>
          <t>宝石包</t>
        </is>
      </c>
      <c r="C93" s="81" t="inlineStr">
        <is>
          <t>宝石包</t>
        </is>
      </c>
      <c r="D93" s="82" t="inlineStr">
        <is>
          <t>散包</t>
        </is>
      </c>
      <c r="E93" s="81" t="inlineStr">
        <is>
          <t>在售</t>
        </is>
      </c>
      <c r="F93" s="81" t="n"/>
      <c r="G93" s="81" t="n"/>
      <c r="H93" s="81" t="n">
        <v>209.27</v>
      </c>
      <c r="I93" s="81" t="inlineStr">
        <is>
          <t>简中</t>
        </is>
      </c>
      <c r="J93" s="81" t="inlineStr">
        <is>
          <t>否</t>
        </is>
      </c>
      <c r="K93" s="81" t="inlineStr">
        <is>
          <t>是</t>
        </is>
      </c>
      <c r="L93" s="81" t="n">
        <v>6</v>
      </c>
      <c r="M93" s="80" t="inlineStr">
        <is>
          <t>/products/cbb5c-box.png</t>
        </is>
      </c>
      <c r="N93" s="81" t="n"/>
      <c r="O93" s="81" t="inlineStr">
        <is>
          <t>扩充包</t>
        </is>
      </c>
      <c r="P93" s="80" t="inlineStr">
        <is>
          <t>简中宝可梦 宝石包第五弹原盒，每包含4张卡牌均为闪卡，稀有度极高。</t>
        </is>
      </c>
      <c r="Q93" s="80" t="inlineStr">
        <is>
          <t>166f979a-f782-4c9d-860d-729930933cb8</t>
        </is>
      </c>
      <c r="R93" s="80" t="inlineStr">
        <is>
          <t>宝石包第五弹-box-简中</t>
        </is>
      </c>
      <c r="S93" s="81" t="inlineStr">
        <is>
          <t>Pokemon</t>
        </is>
      </c>
      <c r="T93" s="80" t="inlineStr">
        <is>
          <t>https://pimart-card-production.up.railway.app/products/%E5%AE%9D%E7%9F%B3%E5%8C%85%E7%AC%AC%E4%BA%94%E5%BC%B9-box-%E7%AE%80%E4%B8%AD</t>
        </is>
      </c>
    </row>
    <row r="94" hidden="1" outlineLevel="1" collapsed="1" ht="17" customHeight="1" s="59">
      <c r="A94" s="80" t="inlineStr">
        <is>
          <t>宝石包第五弹 BOX（简中）</t>
        </is>
      </c>
      <c r="B94" s="80" t="inlineStr">
        <is>
          <t>宝石包</t>
        </is>
      </c>
      <c r="C94" s="81" t="inlineStr">
        <is>
          <t>宝石包</t>
        </is>
      </c>
      <c r="D94" s="82" t="inlineStr">
        <is>
          <t>原箱</t>
        </is>
      </c>
      <c r="E94" s="81" t="inlineStr">
        <is>
          <t>在售</t>
        </is>
      </c>
      <c r="F94" s="81" t="n"/>
      <c r="G94" s="81" t="n"/>
      <c r="H94" s="81" t="n">
        <v>209.27</v>
      </c>
      <c r="I94" s="81" t="inlineStr">
        <is>
          <t>简中</t>
        </is>
      </c>
      <c r="J94" s="81" t="inlineStr">
        <is>
          <t>否</t>
        </is>
      </c>
      <c r="K94" s="81" t="inlineStr">
        <is>
          <t>是</t>
        </is>
      </c>
      <c r="L94" s="81" t="n">
        <v>6</v>
      </c>
      <c r="M94" s="80" t="inlineStr">
        <is>
          <t>/products/cbb5c-box.png</t>
        </is>
      </c>
      <c r="N94" s="81" t="n"/>
      <c r="O94" s="81" t="inlineStr">
        <is>
          <t>扩充包</t>
        </is>
      </c>
      <c r="P94" s="80" t="inlineStr">
        <is>
          <t>简中宝可梦 宝石包第五弹原盒，每包含4张卡牌均为闪卡，稀有度极高。</t>
        </is>
      </c>
      <c r="Q94" s="80" t="inlineStr">
        <is>
          <t>166f979a-f782-4c9d-860d-729930933cb8</t>
        </is>
      </c>
      <c r="R94" s="80" t="inlineStr">
        <is>
          <t>宝石包第五弹-box-简中</t>
        </is>
      </c>
      <c r="S94" s="81" t="inlineStr">
        <is>
          <t>Pokemon</t>
        </is>
      </c>
      <c r="T94" s="80" t="inlineStr">
        <is>
          <t>https://pimart-card-production.up.railway.app/products/%E5%AE%9D%E7%9F%B3%E5%8C%85%E7%AC%AC%E4%BA%94%E5%BC%B9-box-%E7%AE%80%E4%B8%AD</t>
        </is>
      </c>
    </row>
    <row r="95" collapsed="1" ht="18" customHeight="1" s="59">
      <c r="A95" s="77" t="inlineStr">
        <is>
          <t>宝石包第四弹 BOX（简中）</t>
        </is>
      </c>
      <c r="B95" s="77" t="inlineStr">
        <is>
          <t>宝石包</t>
        </is>
      </c>
      <c r="C95" s="78" t="inlineStr">
        <is>
          <t>宝石包</t>
        </is>
      </c>
      <c r="D95" s="79" t="inlineStr">
        <is>
          <t>原盒</t>
        </is>
      </c>
      <c r="E95" s="78" t="inlineStr">
        <is>
          <t>售罄</t>
        </is>
      </c>
      <c r="F95" s="78" t="n">
        <v>0</v>
      </c>
      <c r="G95" s="78" t="n">
        <v>7600</v>
      </c>
      <c r="H95" s="78" t="n">
        <v>203.9</v>
      </c>
      <c r="I95" s="78" t="inlineStr">
        <is>
          <t>简中</t>
        </is>
      </c>
      <c r="J95" s="78" t="inlineStr">
        <is>
          <t>否</t>
        </is>
      </c>
      <c r="K95" s="78" t="inlineStr">
        <is>
          <t>否</t>
        </is>
      </c>
      <c r="L95" s="78" t="n">
        <v>6</v>
      </c>
      <c r="M95" s="77" t="inlineStr">
        <is>
          <t>/products/cbb4c-box.png</t>
        </is>
      </c>
      <c r="N95" s="78" t="n"/>
      <c r="O95" s="78" t="inlineStr">
        <is>
          <t>扩充包</t>
        </is>
      </c>
      <c r="P95" s="77" t="inlineStr">
        <is>
          <t>简中宝可梦 宝石包 第四弹（CBB4C）原盒，2026年2月6日发售，每盒15包，每包4张全闪。</t>
        </is>
      </c>
      <c r="Q95" s="77" t="inlineStr">
        <is>
          <t>cmqui01ql00084odk47lih7a7</t>
        </is>
      </c>
      <c r="R95" s="77" t="inlineStr">
        <is>
          <t>宝石包第四弹-box-简中</t>
        </is>
      </c>
      <c r="S95" s="78" t="inlineStr">
        <is>
          <t>Pokemon</t>
        </is>
      </c>
      <c r="T95" s="77" t="inlineStr">
        <is>
          <t>https://pimart-card-production.up.railway.app/products/%E5%AE%9D%E7%9F%B3%E5%8C%85%E7%AC%AC%E5%9B%9B%E5%BC%B9-box-%E7%AE%80%E4%B8%AD</t>
        </is>
      </c>
    </row>
    <row r="96" hidden="1" outlineLevel="1" ht="17" customHeight="1" s="59">
      <c r="A96" s="80" t="inlineStr">
        <is>
          <t>宝石包第四弹 BOX（简中）</t>
        </is>
      </c>
      <c r="B96" s="80" t="inlineStr">
        <is>
          <t>宝石包</t>
        </is>
      </c>
      <c r="C96" s="81" t="inlineStr">
        <is>
          <t>宝石包</t>
        </is>
      </c>
      <c r="D96" s="82" t="inlineStr">
        <is>
          <t>散包</t>
        </is>
      </c>
      <c r="E96" s="81" t="inlineStr">
        <is>
          <t>售罄</t>
        </is>
      </c>
      <c r="F96" s="81" t="n"/>
      <c r="G96" s="81" t="n"/>
      <c r="H96" s="81" t="n">
        <v>203.9</v>
      </c>
      <c r="I96" s="81" t="inlineStr">
        <is>
          <t>简中</t>
        </is>
      </c>
      <c r="J96" s="81" t="inlineStr">
        <is>
          <t>否</t>
        </is>
      </c>
      <c r="K96" s="81" t="inlineStr">
        <is>
          <t>否</t>
        </is>
      </c>
      <c r="L96" s="81" t="n">
        <v>6</v>
      </c>
      <c r="M96" s="80" t="inlineStr">
        <is>
          <t>/products/cbb4c-box.png</t>
        </is>
      </c>
      <c r="N96" s="81" t="n"/>
      <c r="O96" s="81" t="inlineStr">
        <is>
          <t>扩充包</t>
        </is>
      </c>
      <c r="P96" s="80" t="inlineStr">
        <is>
          <t>简中宝可梦 宝石包 第四弹（CBB4C）原盒，2026年2月6日发售，每盒15包，每包4张全闪。</t>
        </is>
      </c>
      <c r="Q96" s="80" t="inlineStr">
        <is>
          <t>cmqui01ql00084odk47lih7a7</t>
        </is>
      </c>
      <c r="R96" s="80" t="inlineStr">
        <is>
          <t>宝石包第四弹-box-简中</t>
        </is>
      </c>
      <c r="S96" s="81" t="inlineStr">
        <is>
          <t>Pokemon</t>
        </is>
      </c>
      <c r="T96" s="80" t="inlineStr">
        <is>
          <t>https://pimart-card-production.up.railway.app/products/%E5%AE%9D%E7%9F%B3%E5%8C%85%E7%AC%AC%E5%9B%9B%E5%BC%B9-box-%E7%AE%80%E4%B8%AD</t>
        </is>
      </c>
    </row>
    <row r="97" hidden="1" outlineLevel="1" collapsed="1" ht="17" customHeight="1" s="59">
      <c r="A97" s="80" t="inlineStr">
        <is>
          <t>宝石包第四弹 BOX（简中）</t>
        </is>
      </c>
      <c r="B97" s="80" t="inlineStr">
        <is>
          <t>宝石包</t>
        </is>
      </c>
      <c r="C97" s="81" t="inlineStr">
        <is>
          <t>宝石包</t>
        </is>
      </c>
      <c r="D97" s="82" t="inlineStr">
        <is>
          <t>原箱</t>
        </is>
      </c>
      <c r="E97" s="81" t="inlineStr">
        <is>
          <t>售罄</t>
        </is>
      </c>
      <c r="F97" s="81" t="n"/>
      <c r="G97" s="81" t="n"/>
      <c r="H97" s="81" t="n">
        <v>203.9</v>
      </c>
      <c r="I97" s="81" t="inlineStr">
        <is>
          <t>简中</t>
        </is>
      </c>
      <c r="J97" s="81" t="inlineStr">
        <is>
          <t>否</t>
        </is>
      </c>
      <c r="K97" s="81" t="inlineStr">
        <is>
          <t>否</t>
        </is>
      </c>
      <c r="L97" s="81" t="n">
        <v>6</v>
      </c>
      <c r="M97" s="80" t="inlineStr">
        <is>
          <t>/products/cbb4c-box.png</t>
        </is>
      </c>
      <c r="N97" s="81" t="n"/>
      <c r="O97" s="81" t="inlineStr">
        <is>
          <t>扩充包</t>
        </is>
      </c>
      <c r="P97" s="80" t="inlineStr">
        <is>
          <t>简中宝可梦 宝石包 第四弹（CBB4C）原盒，2026年2月6日发售，每盒15包，每包4张全闪。</t>
        </is>
      </c>
      <c r="Q97" s="80" t="inlineStr">
        <is>
          <t>cmqui01ql00084odk47lih7a7</t>
        </is>
      </c>
      <c r="R97" s="80" t="inlineStr">
        <is>
          <t>宝石包第四弹-box-简中</t>
        </is>
      </c>
      <c r="S97" s="81" t="inlineStr">
        <is>
          <t>Pokemon</t>
        </is>
      </c>
      <c r="T97" s="80" t="inlineStr">
        <is>
          <t>https://pimart-card-production.up.railway.app/products/%E5%AE%9D%E7%9F%B3%E5%8C%85%E7%AC%AC%E5%9B%9B%E5%BC%B9-box-%E7%AE%80%E4%B8%AD</t>
        </is>
      </c>
    </row>
    <row r="98" collapsed="1" ht="18" customHeight="1" s="59">
      <c r="A98" s="83" t="inlineStr">
        <is>
          <t>宝石包第三弹 BOX（简中）</t>
        </is>
      </c>
      <c r="B98" s="83" t="inlineStr">
        <is>
          <t>宝石包</t>
        </is>
      </c>
      <c r="C98" s="84" t="inlineStr">
        <is>
          <t>宝石包</t>
        </is>
      </c>
      <c r="D98" s="79" t="inlineStr">
        <is>
          <t>原盒</t>
        </is>
      </c>
      <c r="E98" s="84" t="inlineStr">
        <is>
          <t>售罄</t>
        </is>
      </c>
      <c r="F98" s="84" t="n">
        <v>0</v>
      </c>
      <c r="G98" s="84" t="n">
        <v>8000</v>
      </c>
      <c r="H98" s="84" t="n">
        <v>214.63</v>
      </c>
      <c r="I98" s="84" t="inlineStr">
        <is>
          <t>简中</t>
        </is>
      </c>
      <c r="J98" s="84" t="inlineStr">
        <is>
          <t>否</t>
        </is>
      </c>
      <c r="K98" s="84" t="inlineStr">
        <is>
          <t>否</t>
        </is>
      </c>
      <c r="L98" s="84" t="n">
        <v>6</v>
      </c>
      <c r="M98" s="83" t="inlineStr">
        <is>
          <t>/products/cbb3c-box.png</t>
        </is>
      </c>
      <c r="N98" s="84" t="n"/>
      <c r="O98" s="84" t="inlineStr">
        <is>
          <t>扩充包</t>
        </is>
      </c>
      <c r="P98" s="83" t="inlineStr">
        <is>
          <t>简中宝可梦 宝石包 第三弹（CBB3C）原盒，2025年9月26日发售，每盒15包，每包4张全闪。</t>
        </is>
      </c>
      <c r="Q98" s="83" t="inlineStr">
        <is>
          <t>cmqui01qf00074odks1y9i3ki</t>
        </is>
      </c>
      <c r="R98" s="83" t="inlineStr">
        <is>
          <t>宝石包第三弹-box-简中</t>
        </is>
      </c>
      <c r="S98" s="84" t="inlineStr">
        <is>
          <t>Pokemon</t>
        </is>
      </c>
      <c r="T98" s="83" t="inlineStr">
        <is>
          <t>https://pimart-card-production.up.railway.app/products/%E5%AE%9D%E7%9F%B3%E5%8C%85%E7%AC%AC%E4%B8%89%E5%BC%B9-box-%E7%AE%80%E4%B8%AD</t>
        </is>
      </c>
    </row>
    <row r="99" hidden="1" outlineLevel="1" ht="17" customHeight="1" s="59">
      <c r="A99" s="80" t="inlineStr">
        <is>
          <t>宝石包第三弹 BOX（简中）</t>
        </is>
      </c>
      <c r="B99" s="80" t="inlineStr">
        <is>
          <t>宝石包</t>
        </is>
      </c>
      <c r="C99" s="81" t="inlineStr">
        <is>
          <t>宝石包</t>
        </is>
      </c>
      <c r="D99" s="82" t="inlineStr">
        <is>
          <t>散包</t>
        </is>
      </c>
      <c r="E99" s="81" t="inlineStr">
        <is>
          <t>售罄</t>
        </is>
      </c>
      <c r="F99" s="81" t="n"/>
      <c r="G99" s="81" t="n"/>
      <c r="H99" s="81" t="n">
        <v>214.63</v>
      </c>
      <c r="I99" s="81" t="inlineStr">
        <is>
          <t>简中</t>
        </is>
      </c>
      <c r="J99" s="81" t="inlineStr">
        <is>
          <t>否</t>
        </is>
      </c>
      <c r="K99" s="81" t="inlineStr">
        <is>
          <t>否</t>
        </is>
      </c>
      <c r="L99" s="81" t="n">
        <v>6</v>
      </c>
      <c r="M99" s="80" t="inlineStr">
        <is>
          <t>/products/cbb3c-box.png</t>
        </is>
      </c>
      <c r="N99" s="81" t="n"/>
      <c r="O99" s="81" t="inlineStr">
        <is>
          <t>扩充包</t>
        </is>
      </c>
      <c r="P99" s="80" t="inlineStr">
        <is>
          <t>简中宝可梦 宝石包 第三弹（CBB3C）原盒，2025年9月26日发售，每盒15包，每包4张全闪。</t>
        </is>
      </c>
      <c r="Q99" s="80" t="inlineStr">
        <is>
          <t>cmqui01qf00074odks1y9i3ki</t>
        </is>
      </c>
      <c r="R99" s="80" t="inlineStr">
        <is>
          <t>宝石包第三弹-box-简中</t>
        </is>
      </c>
      <c r="S99" s="81" t="inlineStr">
        <is>
          <t>Pokemon</t>
        </is>
      </c>
      <c r="T99" s="80" t="inlineStr">
        <is>
          <t>https://pimart-card-production.up.railway.app/products/%E5%AE%9D%E7%9F%B3%E5%8C%85%E7%AC%AC%E4%B8%89%E5%BC%B9-box-%E7%AE%80%E4%B8%AD</t>
        </is>
      </c>
    </row>
    <row r="100" hidden="1" outlineLevel="1" ht="17" customHeight="1" s="59">
      <c r="A100" s="80" t="inlineStr">
        <is>
          <t>宝石包第三弹 BOX（简中）</t>
        </is>
      </c>
      <c r="B100" s="80" t="inlineStr">
        <is>
          <t>宝石包</t>
        </is>
      </c>
      <c r="C100" s="81" t="inlineStr">
        <is>
          <t>宝石包</t>
        </is>
      </c>
      <c r="D100" s="82" t="inlineStr">
        <is>
          <t>原箱</t>
        </is>
      </c>
      <c r="E100" s="81" t="inlineStr">
        <is>
          <t>售罄</t>
        </is>
      </c>
      <c r="F100" s="81" t="n"/>
      <c r="G100" s="81" t="n"/>
      <c r="H100" s="81" t="n">
        <v>214.63</v>
      </c>
      <c r="I100" s="81" t="inlineStr">
        <is>
          <t>简中</t>
        </is>
      </c>
      <c r="J100" s="81" t="inlineStr">
        <is>
          <t>否</t>
        </is>
      </c>
      <c r="K100" s="81" t="inlineStr">
        <is>
          <t>否</t>
        </is>
      </c>
      <c r="L100" s="81" t="n">
        <v>6</v>
      </c>
      <c r="M100" s="80" t="inlineStr">
        <is>
          <t>/products/cbb3c-box.png</t>
        </is>
      </c>
      <c r="N100" s="81" t="n"/>
      <c r="O100" s="81" t="inlineStr">
        <is>
          <t>扩充包</t>
        </is>
      </c>
      <c r="P100" s="80" t="inlineStr">
        <is>
          <t>简中宝可梦 宝石包 第三弹（CBB3C）原盒，2025年9月26日发售，每盒15包，每包4张全闪。</t>
        </is>
      </c>
      <c r="Q100" s="80" t="inlineStr">
        <is>
          <t>cmqui01qf00074odks1y9i3ki</t>
        </is>
      </c>
      <c r="R100" s="80" t="inlineStr">
        <is>
          <t>宝石包第三弹-box-简中</t>
        </is>
      </c>
      <c r="S100" s="81" t="inlineStr">
        <is>
          <t>Pokemon</t>
        </is>
      </c>
      <c r="T100" s="80" t="inlineStr">
        <is>
          <t>https://pimart-card-production.up.railway.app/products/%E5%AE%9D%E7%9F%B3%E5%8C%85%E7%AC%AC%E4%B8%89%E5%BC%B9-box-%E7%AE%80%E4%B8%AD</t>
        </is>
      </c>
    </row>
    <row r="101" collapsed="1" ht="18" customHeight="1" s="59">
      <c r="A101" s="77" t="inlineStr">
        <is>
          <t>宝石包第二弹 BOX（简中）</t>
        </is>
      </c>
      <c r="B101" s="77" t="inlineStr">
        <is>
          <t>宝石包</t>
        </is>
      </c>
      <c r="C101" s="78" t="inlineStr">
        <is>
          <t>宝石包</t>
        </is>
      </c>
      <c r="D101" s="79" t="inlineStr">
        <is>
          <t>原盒</t>
        </is>
      </c>
      <c r="E101" s="78" t="inlineStr">
        <is>
          <t>售罄</t>
        </is>
      </c>
      <c r="F101" s="78" t="n">
        <v>0</v>
      </c>
      <c r="G101" s="78" t="n"/>
      <c r="H101" s="78" t="n"/>
      <c r="I101" s="78" t="n"/>
      <c r="J101" s="78" t="n"/>
      <c r="K101" s="78" t="n"/>
      <c r="L101" s="78" t="n"/>
      <c r="M101" s="77" t="inlineStr">
        <is>
          <t>/products/cbb2c-box.png</t>
        </is>
      </c>
      <c r="N101" s="78" t="n"/>
      <c r="O101" s="78" t="inlineStr">
        <is>
          <t>扩充包</t>
        </is>
      </c>
      <c r="P101" s="77" t="inlineStr">
        <is>
          <t>简中宝可梦 宝石包 第二弹（CBB2C）原盒，2025年5月16日发售，每盒15包，每包4张全闪。</t>
        </is>
      </c>
      <c r="Q101" s="77" t="inlineStr">
        <is>
          <t>cmqui01qa00064odkgs2402lt</t>
        </is>
      </c>
      <c r="R101" s="77" t="inlineStr">
        <is>
          <t>宝石包第二弹-box-简中</t>
        </is>
      </c>
      <c r="S101" s="78" t="inlineStr">
        <is>
          <t>Pokemon</t>
        </is>
      </c>
      <c r="T101" s="77" t="inlineStr">
        <is>
          <t>https://pimart-card-production.up.railway.app/products/%E5%AE%9D%E7%9F%B3%E5%8C%85%E7%AC%AC%E4%BA%8C%E5%BC%B9-box-%E7%AE%80%E4%B8%AD</t>
        </is>
      </c>
    </row>
    <row r="102" hidden="1" outlineLevel="1" ht="17" customHeight="1" s="59">
      <c r="A102" s="80" t="inlineStr">
        <is>
          <t>宝石包第二弹 BOX（简中）</t>
        </is>
      </c>
      <c r="B102" s="80" t="inlineStr">
        <is>
          <t>宝石包</t>
        </is>
      </c>
      <c r="C102" s="81" t="inlineStr">
        <is>
          <t>宝石包</t>
        </is>
      </c>
      <c r="D102" s="82" t="inlineStr">
        <is>
          <t>散包</t>
        </is>
      </c>
      <c r="E102" s="81" t="inlineStr">
        <is>
          <t>售罄</t>
        </is>
      </c>
      <c r="F102" s="81" t="n">
        <v>0</v>
      </c>
      <c r="G102" s="81" t="n"/>
      <c r="H102" s="81" t="n"/>
      <c r="I102" s="81" t="n"/>
      <c r="J102" s="81" t="n"/>
      <c r="K102" s="81" t="n"/>
      <c r="L102" s="81" t="n"/>
      <c r="M102" s="80" t="inlineStr">
        <is>
          <t>/products/cbb2c-box.png</t>
        </is>
      </c>
      <c r="N102" s="81" t="n"/>
      <c r="O102" s="81" t="inlineStr">
        <is>
          <t>扩充包</t>
        </is>
      </c>
      <c r="P102" s="80" t="inlineStr">
        <is>
          <t>简中宝可梦 宝石包 第二弹（CBB2C）原盒，2025年5月16日发售，每盒15包，每包4张全闪。</t>
        </is>
      </c>
      <c r="Q102" s="80" t="inlineStr">
        <is>
          <t>cmqui01qa00064odkgs2402lt</t>
        </is>
      </c>
      <c r="R102" s="80" t="inlineStr">
        <is>
          <t>宝石包第二弹-box-简中</t>
        </is>
      </c>
      <c r="S102" s="81" t="inlineStr">
        <is>
          <t>Pokemon</t>
        </is>
      </c>
      <c r="T102" s="80" t="inlineStr">
        <is>
          <t>https://pimart-card-production.up.railway.app/products/%E5%AE%9D%E7%9F%B3%E5%8C%85%E7%AC%AC%E4%BA%8C%E5%BC%B9-box-%E7%AE%80%E4%B8%AD</t>
        </is>
      </c>
    </row>
    <row r="103" hidden="1" outlineLevel="1" collapsed="1" ht="17" customHeight="1" s="59">
      <c r="A103" s="80" t="inlineStr">
        <is>
          <t>宝石包第二弹 BOX（简中）</t>
        </is>
      </c>
      <c r="B103" s="80" t="inlineStr">
        <is>
          <t>宝石包</t>
        </is>
      </c>
      <c r="C103" s="81" t="inlineStr">
        <is>
          <t>宝石包</t>
        </is>
      </c>
      <c r="D103" s="82" t="inlineStr">
        <is>
          <t>原箱</t>
        </is>
      </c>
      <c r="E103" s="81" t="inlineStr">
        <is>
          <t>售罄</t>
        </is>
      </c>
      <c r="F103" s="81" t="n">
        <v>0</v>
      </c>
      <c r="G103" s="81" t="n"/>
      <c r="H103" s="81" t="n">
        <v>228.05</v>
      </c>
      <c r="I103" s="81" t="inlineStr">
        <is>
          <t>简中</t>
        </is>
      </c>
      <c r="J103" s="81" t="inlineStr">
        <is>
          <t>否</t>
        </is>
      </c>
      <c r="K103" s="81" t="inlineStr">
        <is>
          <t>否</t>
        </is>
      </c>
      <c r="L103" s="81" t="n">
        <v>6</v>
      </c>
      <c r="M103" s="80" t="inlineStr">
        <is>
          <t>/products/cbb2c-box.png</t>
        </is>
      </c>
      <c r="N103" s="81" t="n"/>
      <c r="O103" s="81" t="inlineStr">
        <is>
          <t>扩充包</t>
        </is>
      </c>
      <c r="P103" s="80" t="inlineStr">
        <is>
          <t>简中宝可梦 宝石包 第二弹（CBB2C）原盒，2025年5月16日发售，每盒15包，每包4张全闪。</t>
        </is>
      </c>
      <c r="Q103" s="80" t="inlineStr">
        <is>
          <t>cmqui01qa00064odkgs2402lt</t>
        </is>
      </c>
      <c r="R103" s="80" t="inlineStr">
        <is>
          <t>宝石包第二弹-box-简中</t>
        </is>
      </c>
      <c r="S103" s="81" t="inlineStr">
        <is>
          <t>Pokemon</t>
        </is>
      </c>
      <c r="T103" s="80" t="inlineStr">
        <is>
          <t>https://pimart-card-production.up.railway.app/products/%E5%AE%9D%E7%9F%B3%E5%8C%85%E7%AC%AC%E4%BA%8C%E5%BC%B9-box-%E7%AE%80%E4%B8%AD</t>
        </is>
      </c>
    </row>
    <row r="104" collapsed="1" ht="18" customHeight="1" s="59">
      <c r="A104" s="83" t="inlineStr">
        <is>
          <t>宝石包第一弹 BOX（简中）</t>
        </is>
      </c>
      <c r="B104" s="83" t="inlineStr">
        <is>
          <t>宝石包</t>
        </is>
      </c>
      <c r="C104" s="84" t="inlineStr">
        <is>
          <t>宝石包</t>
        </is>
      </c>
      <c r="D104" s="79" t="inlineStr">
        <is>
          <t>原盒</t>
        </is>
      </c>
      <c r="E104" s="84" t="inlineStr">
        <is>
          <t>售罄</t>
        </is>
      </c>
      <c r="F104" s="84" t="n">
        <v>0</v>
      </c>
      <c r="G104" s="84" t="n">
        <v>9000</v>
      </c>
      <c r="H104" s="84" t="n">
        <v>241.46</v>
      </c>
      <c r="I104" s="84" t="inlineStr">
        <is>
          <t>简中</t>
        </is>
      </c>
      <c r="J104" s="84" t="inlineStr">
        <is>
          <t>否</t>
        </is>
      </c>
      <c r="K104" s="84" t="inlineStr">
        <is>
          <t>否</t>
        </is>
      </c>
      <c r="L104" s="84" t="n">
        <v>6</v>
      </c>
      <c r="M104" s="83" t="inlineStr">
        <is>
          <t>/products/cbb1c-box.png</t>
        </is>
      </c>
      <c r="N104" s="84" t="n"/>
      <c r="O104" s="84" t="inlineStr">
        <is>
          <t>扩充包</t>
        </is>
      </c>
      <c r="P104" s="83" t="inlineStr">
        <is>
          <t>简中宝可梦 宝石包 第一弹（CBB1C）原盒，2025年1月17日发售，每盒15包，每包4张全闪。</t>
        </is>
      </c>
      <c r="Q104" s="83" t="inlineStr">
        <is>
          <t>cmqui01q600054odko3b0sk6m</t>
        </is>
      </c>
      <c r="R104" s="83" t="inlineStr">
        <is>
          <t>宝石包第一弹-box-简中</t>
        </is>
      </c>
      <c r="S104" s="84" t="inlineStr">
        <is>
          <t>Pokemon</t>
        </is>
      </c>
      <c r="T104" s="83" t="inlineStr">
        <is>
          <t>https://pimart-card-production.up.railway.app/products/%E5%AE%9D%E7%9F%B3%E5%8C%85%E7%AC%AC%E4%B8%80%E5%BC%B9-box-%E7%AE%80%E4%B8%AD</t>
        </is>
      </c>
    </row>
    <row r="105" hidden="1" outlineLevel="1" ht="17" customHeight="1" s="59">
      <c r="A105" s="80" t="inlineStr">
        <is>
          <t>宝石包第一弹 BOX（简中）</t>
        </is>
      </c>
      <c r="B105" s="80" t="inlineStr">
        <is>
          <t>宝石包</t>
        </is>
      </c>
      <c r="C105" s="81" t="inlineStr">
        <is>
          <t>宝石包</t>
        </is>
      </c>
      <c r="D105" s="82" t="inlineStr">
        <is>
          <t>散包</t>
        </is>
      </c>
      <c r="E105" s="81" t="inlineStr">
        <is>
          <t>售罄</t>
        </is>
      </c>
      <c r="F105" s="81" t="n"/>
      <c r="G105" s="81" t="n"/>
      <c r="H105" s="81" t="n">
        <v>241.46</v>
      </c>
      <c r="I105" s="81" t="inlineStr">
        <is>
          <t>简中</t>
        </is>
      </c>
      <c r="J105" s="81" t="inlineStr">
        <is>
          <t>否</t>
        </is>
      </c>
      <c r="K105" s="81" t="inlineStr">
        <is>
          <t>否</t>
        </is>
      </c>
      <c r="L105" s="81" t="n">
        <v>6</v>
      </c>
      <c r="M105" s="80" t="inlineStr">
        <is>
          <t>/products/cbb1c-box.png</t>
        </is>
      </c>
      <c r="N105" s="81" t="n"/>
      <c r="O105" s="81" t="inlineStr">
        <is>
          <t>扩充包</t>
        </is>
      </c>
      <c r="P105" s="80" t="inlineStr">
        <is>
          <t>简中宝可梦 宝石包 第一弹（CBB1C）原盒，2025年1月17日发售，每盒15包，每包4张全闪。</t>
        </is>
      </c>
      <c r="Q105" s="80" t="inlineStr">
        <is>
          <t>cmqui01q600054odko3b0sk6m</t>
        </is>
      </c>
      <c r="R105" s="80" t="inlineStr">
        <is>
          <t>宝石包第一弹-box-简中</t>
        </is>
      </c>
      <c r="S105" s="81" t="inlineStr">
        <is>
          <t>Pokemon</t>
        </is>
      </c>
      <c r="T105" s="80" t="inlineStr">
        <is>
          <t>https://pimart-card-production.up.railway.app/products/%E5%AE%9D%E7%9F%B3%E5%8C%85%E7%AC%AC%E4%B8%80%E5%BC%B9-box-%E7%AE%80%E4%B8%AD</t>
        </is>
      </c>
    </row>
    <row r="106" hidden="1" outlineLevel="1" collapsed="1" ht="17" customHeight="1" s="59">
      <c r="A106" s="80" t="inlineStr">
        <is>
          <t>宝石包第一弹 BOX（简中）</t>
        </is>
      </c>
      <c r="B106" s="80" t="inlineStr">
        <is>
          <t>宝石包</t>
        </is>
      </c>
      <c r="C106" s="81" t="inlineStr">
        <is>
          <t>宝石包</t>
        </is>
      </c>
      <c r="D106" s="82" t="inlineStr">
        <is>
          <t>原箱</t>
        </is>
      </c>
      <c r="E106" s="81" t="inlineStr">
        <is>
          <t>售罄</t>
        </is>
      </c>
      <c r="F106" s="81" t="n"/>
      <c r="G106" s="81" t="n"/>
      <c r="H106" s="81" t="n">
        <v>241.46</v>
      </c>
      <c r="I106" s="81" t="inlineStr">
        <is>
          <t>简中</t>
        </is>
      </c>
      <c r="J106" s="81" t="inlineStr">
        <is>
          <t>否</t>
        </is>
      </c>
      <c r="K106" s="81" t="inlineStr">
        <is>
          <t>否</t>
        </is>
      </c>
      <c r="L106" s="81" t="n">
        <v>6</v>
      </c>
      <c r="M106" s="80" t="inlineStr">
        <is>
          <t>/products/cbb1c-box.png</t>
        </is>
      </c>
      <c r="N106" s="81" t="n"/>
      <c r="O106" s="81" t="inlineStr">
        <is>
          <t>扩充包</t>
        </is>
      </c>
      <c r="P106" s="80" t="inlineStr">
        <is>
          <t>简中宝可梦 宝石包 第一弹（CBB1C）原盒，2025年1月17日发售，每盒15包，每包4张全闪。</t>
        </is>
      </c>
      <c r="Q106" s="80" t="inlineStr">
        <is>
          <t>cmqui01q600054odko3b0sk6m</t>
        </is>
      </c>
      <c r="R106" s="80" t="inlineStr">
        <is>
          <t>宝石包第一弹-box-简中</t>
        </is>
      </c>
      <c r="S106" s="81" t="inlineStr">
        <is>
          <t>Pokemon</t>
        </is>
      </c>
      <c r="T106" s="80" t="inlineStr">
        <is>
          <t>https://pimart-card-production.up.railway.app/products/%E5%AE%9D%E7%9F%B3%E5%8C%85%E7%AC%AC%E4%B8%80%E5%BC%B9-box-%E7%AE%80%E4%B8%AD</t>
        </is>
      </c>
    </row>
    <row r="107" collapsed="1" ht="6" customHeight="1" s="59"/>
    <row r="108" ht="20" customHeight="1" s="59">
      <c r="A108" s="75" t="inlineStr">
        <is>
          <t>剑&amp;盾 · 扩充包（补充包肥瘦成对 / 强化包瘦盒）</t>
        </is>
      </c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</row>
    <row r="109" ht="18" customHeight="1" s="59">
      <c r="A109" s="76" t="inlineStr">
        <is>
          <t xml:space="preserve">  第6弹</t>
        </is>
      </c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</row>
    <row r="110" collapsed="1" ht="18" customHeight="1" s="59">
      <c r="A110" s="77" t="inlineStr">
        <is>
          <t>强化包 胜象星引 BOX（简中）</t>
        </is>
      </c>
      <c r="B110" s="77" t="inlineStr">
        <is>
          <t>剑&amp;盾 CS6.5</t>
        </is>
      </c>
      <c r="C110" s="78" t="inlineStr">
        <is>
          <t>强化包(瘦盒)</t>
        </is>
      </c>
      <c r="D110" s="79" t="inlineStr">
        <is>
          <t>原盒</t>
        </is>
      </c>
      <c r="E110" s="78" t="inlineStr">
        <is>
          <t>售罄</t>
        </is>
      </c>
      <c r="F110" s="78" t="n">
        <v>0</v>
      </c>
      <c r="G110" s="78" t="n">
        <v>3800</v>
      </c>
      <c r="H110" s="78" t="n">
        <v>101.95</v>
      </c>
      <c r="I110" s="78" t="inlineStr">
        <is>
          <t>简中</t>
        </is>
      </c>
      <c r="J110" s="78" t="inlineStr">
        <is>
          <t>否</t>
        </is>
      </c>
      <c r="K110" s="78" t="inlineStr">
        <is>
          <t>否</t>
        </is>
      </c>
      <c r="L110" s="78" t="n">
        <v>6</v>
      </c>
      <c r="M110" s="77" t="inlineStr">
        <is>
          <t>/products/cs65-box.png</t>
        </is>
      </c>
      <c r="N110" s="78" t="n"/>
      <c r="O110" s="78" t="inlineStr">
        <is>
          <t>扩充包</t>
        </is>
      </c>
      <c r="P110" s="77" t="inlineStr">
        <is>
          <t>官网：剑&amp;盾 强化包 胜象星引（CS6.5）。6张/包×20包/盒。配对补充包：碧海暗影 CS6a。 | 简中宝可梦 剑&amp;盾 强化包 胜象星引（CS6.5C），6张/包×20包/盒，SS 时代末代强化包。</t>
        </is>
      </c>
      <c r="Q110" s="77" t="inlineStr">
        <is>
          <t>cmqukjumj000o2odkzv8bhzgv</t>
        </is>
      </c>
      <c r="R110" s="77" t="inlineStr">
        <is>
          <t>胜象星引-box-简中</t>
        </is>
      </c>
      <c r="S110" s="78" t="inlineStr">
        <is>
          <t>Pokemon</t>
        </is>
      </c>
      <c r="T110" s="77" t="inlineStr">
        <is>
          <t>https://pimart-card-production.up.railway.app/products/%E8%83%9C%E8%B1%A1%E6%98%9F%E5%BC%95-box-%E7%AE%80%E4%B8%AD</t>
        </is>
      </c>
    </row>
    <row r="111" hidden="1" outlineLevel="1" ht="17" customHeight="1" s="59">
      <c r="A111" s="80" t="inlineStr">
        <is>
          <t>强化包 胜象星引 BOX（简中）</t>
        </is>
      </c>
      <c r="B111" s="80" t="inlineStr">
        <is>
          <t>剑&amp;盾 CS6.5</t>
        </is>
      </c>
      <c r="C111" s="81" t="inlineStr">
        <is>
          <t>强化包(瘦盒)</t>
        </is>
      </c>
      <c r="D111" s="82" t="inlineStr">
        <is>
          <t>散包</t>
        </is>
      </c>
      <c r="E111" s="81" t="inlineStr">
        <is>
          <t>售罄</t>
        </is>
      </c>
      <c r="F111" s="81" t="n"/>
      <c r="G111" s="81" t="n"/>
      <c r="H111" s="81" t="n">
        <v>101.95</v>
      </c>
      <c r="I111" s="81" t="inlineStr">
        <is>
          <t>简中</t>
        </is>
      </c>
      <c r="J111" s="81" t="inlineStr">
        <is>
          <t>否</t>
        </is>
      </c>
      <c r="K111" s="81" t="inlineStr">
        <is>
          <t>否</t>
        </is>
      </c>
      <c r="L111" s="81" t="n">
        <v>6</v>
      </c>
      <c r="M111" s="80" t="inlineStr">
        <is>
          <t>/products/cs65-box.png</t>
        </is>
      </c>
      <c r="N111" s="81" t="n"/>
      <c r="O111" s="81" t="inlineStr">
        <is>
          <t>扩充包</t>
        </is>
      </c>
      <c r="P111" s="80" t="inlineStr">
        <is>
          <t>官网：剑&amp;盾 强化包 胜象星引（CS6.5）。6张/包×20包/盒。配对补充包：碧海暗影 CS6a。 | 简中宝可梦 剑&amp;盾 强化包 胜象星引（CS6.5C），6张/包×20包/盒，SS 时代末代强化包。</t>
        </is>
      </c>
      <c r="Q111" s="80" t="inlineStr">
        <is>
          <t>cmqukjumj000o2odkzv8bhzgv</t>
        </is>
      </c>
      <c r="R111" s="80" t="inlineStr">
        <is>
          <t>胜象星引-box-简中</t>
        </is>
      </c>
      <c r="S111" s="81" t="inlineStr">
        <is>
          <t>Pokemon</t>
        </is>
      </c>
      <c r="T111" s="80" t="inlineStr">
        <is>
          <t>https://pimart-card-production.up.railway.app/products/%E8%83%9C%E8%B1%A1%E6%98%9F%E5%BC%95-box-%E7%AE%80%E4%B8%AD</t>
        </is>
      </c>
    </row>
    <row r="112" hidden="1" outlineLevel="1" ht="17" customHeight="1" s="59">
      <c r="A112" s="80" t="inlineStr">
        <is>
          <t>强化包 胜象星引 BOX（简中）</t>
        </is>
      </c>
      <c r="B112" s="80" t="inlineStr">
        <is>
          <t>剑&amp;盾 CS6.5</t>
        </is>
      </c>
      <c r="C112" s="81" t="inlineStr">
        <is>
          <t>强化包(瘦盒)</t>
        </is>
      </c>
      <c r="D112" s="82" t="inlineStr">
        <is>
          <t>原箱</t>
        </is>
      </c>
      <c r="E112" s="81" t="inlineStr">
        <is>
          <t>售罄</t>
        </is>
      </c>
      <c r="F112" s="81" t="n"/>
      <c r="G112" s="81" t="n"/>
      <c r="H112" s="81" t="n">
        <v>101.95</v>
      </c>
      <c r="I112" s="81" t="inlineStr">
        <is>
          <t>简中</t>
        </is>
      </c>
      <c r="J112" s="81" t="inlineStr">
        <is>
          <t>否</t>
        </is>
      </c>
      <c r="K112" s="81" t="inlineStr">
        <is>
          <t>否</t>
        </is>
      </c>
      <c r="L112" s="81" t="n">
        <v>6</v>
      </c>
      <c r="M112" s="80" t="inlineStr">
        <is>
          <t>/products/cs65-box.png</t>
        </is>
      </c>
      <c r="N112" s="81" t="n"/>
      <c r="O112" s="81" t="inlineStr">
        <is>
          <t>扩充包</t>
        </is>
      </c>
      <c r="P112" s="80" t="inlineStr">
        <is>
          <t>官网：剑&amp;盾 强化包 胜象星引（CS6.5）。6张/包×20包/盒。配对补充包：碧海暗影 CS6a。 | 简中宝可梦 剑&amp;盾 强化包 胜象星引（CS6.5C），6张/包×20包/盒，SS 时代末代强化包。</t>
        </is>
      </c>
      <c r="Q112" s="80" t="inlineStr">
        <is>
          <t>cmqukjumj000o2odkzv8bhzgv</t>
        </is>
      </c>
      <c r="R112" s="80" t="inlineStr">
        <is>
          <t>胜象星引-box-简中</t>
        </is>
      </c>
      <c r="S112" s="81" t="inlineStr">
        <is>
          <t>Pokemon</t>
        </is>
      </c>
      <c r="T112" s="80" t="inlineStr">
        <is>
          <t>https://pimart-card-production.up.railway.app/products/%E8%83%9C%E8%B1%A1%E6%98%9F%E5%BC%95-box-%E7%AE%80%E4%B8%AD</t>
        </is>
      </c>
    </row>
    <row r="113" collapsed="1" ht="18" customHeight="1" s="59">
      <c r="A113" s="83" t="inlineStr">
        <is>
          <t>补充包 碧海暗影 啸 瘦盒 BOX（简中）</t>
        </is>
      </c>
      <c r="B113" s="83" t="inlineStr">
        <is>
          <t>剑&amp;盾 CS6a 碧海暗影 啸</t>
        </is>
      </c>
      <c r="C113" s="84" t="inlineStr">
        <is>
          <t>瘦盒</t>
        </is>
      </c>
      <c r="D113" s="79" t="inlineStr">
        <is>
          <t>原盒</t>
        </is>
      </c>
      <c r="E113" s="84" t="inlineStr">
        <is>
          <t>售罄</t>
        </is>
      </c>
      <c r="F113" s="84" t="n">
        <v>0</v>
      </c>
      <c r="G113" s="84" t="n">
        <v>9000</v>
      </c>
      <c r="H113" s="84" t="n"/>
      <c r="I113" s="84" t="n"/>
      <c r="J113" s="84" t="n"/>
      <c r="K113" s="84" t="n"/>
      <c r="L113" s="84" t="n"/>
      <c r="M113" s="83" t="inlineStr">
        <is>
          <t>/products/cs6a-box.png</t>
        </is>
      </c>
      <c r="N113" s="84" t="n"/>
      <c r="O113" s="84" t="n"/>
      <c r="P113" s="83" t="n"/>
      <c r="Q113" s="83" t="n"/>
      <c r="R113" s="83" t="n"/>
      <c r="S113" s="84" t="n"/>
      <c r="T113" s="83" t="n"/>
    </row>
    <row r="114" hidden="1" outlineLevel="1" ht="17" customHeight="1" s="59">
      <c r="A114" s="80" t="inlineStr">
        <is>
          <t>补充包 碧海暗影 啸 瘦盒 BOX（简中）</t>
        </is>
      </c>
      <c r="B114" s="80" t="inlineStr">
        <is>
          <t>剑&amp;盾 CS6a 碧海暗影 啸</t>
        </is>
      </c>
      <c r="C114" s="81" t="inlineStr">
        <is>
          <t>瘦盒</t>
        </is>
      </c>
      <c r="D114" s="82" t="inlineStr">
        <is>
          <t>散包</t>
        </is>
      </c>
      <c r="E114" s="81" t="inlineStr">
        <is>
          <t>售罄</t>
        </is>
      </c>
      <c r="F114" s="81" t="n">
        <v>0</v>
      </c>
      <c r="G114" s="81" t="n">
        <v>9000</v>
      </c>
      <c r="H114" s="81" t="n"/>
      <c r="I114" s="81" t="n"/>
      <c r="J114" s="81" t="n"/>
      <c r="K114" s="81" t="n"/>
      <c r="L114" s="81" t="n"/>
      <c r="M114" s="80" t="inlineStr">
        <is>
          <t>/products/cs6a-box.png</t>
        </is>
      </c>
      <c r="N114" s="81" t="n"/>
      <c r="O114" s="81" t="n"/>
      <c r="P114" s="80" t="n"/>
      <c r="Q114" s="80" t="n"/>
      <c r="R114" s="80" t="n"/>
      <c r="S114" s="81" t="n"/>
      <c r="T114" s="80" t="n"/>
    </row>
    <row r="115" hidden="1" outlineLevel="1" ht="17" customHeight="1" s="59">
      <c r="A115" s="80" t="inlineStr">
        <is>
          <t>补充包 碧海暗影 啸 瘦盒 BOX（简中）</t>
        </is>
      </c>
      <c r="B115" s="80" t="inlineStr">
        <is>
          <t>剑&amp;盾 CS6a 碧海暗影 啸</t>
        </is>
      </c>
      <c r="C115" s="81" t="inlineStr">
        <is>
          <t>瘦盒</t>
        </is>
      </c>
      <c r="D115" s="82" t="inlineStr">
        <is>
          <t>原箱</t>
        </is>
      </c>
      <c r="E115" s="81" t="inlineStr">
        <is>
          <t>售罄</t>
        </is>
      </c>
      <c r="F115" s="81" t="n">
        <v>0</v>
      </c>
      <c r="G115" s="81" t="n">
        <v>9000</v>
      </c>
      <c r="H115" s="81" t="n"/>
      <c r="I115" s="81" t="n"/>
      <c r="J115" s="81" t="n"/>
      <c r="K115" s="81" t="n"/>
      <c r="L115" s="81" t="n"/>
      <c r="M115" s="80" t="inlineStr">
        <is>
          <t>/products/cs6a-box.png</t>
        </is>
      </c>
      <c r="N115" s="81" t="n"/>
      <c r="O115" s="81" t="n"/>
      <c r="P115" s="80" t="n"/>
      <c r="Q115" s="80" t="n"/>
      <c r="R115" s="80" t="n"/>
      <c r="S115" s="81" t="n"/>
      <c r="T115" s="80" t="n"/>
    </row>
    <row r="116" collapsed="1" ht="18" customHeight="1" s="59">
      <c r="A116" s="77" t="inlineStr">
        <is>
          <t>补充包 碧海暗影 啸 肥盒 BOX（简中）</t>
        </is>
      </c>
      <c r="B116" s="77" t="inlineStr">
        <is>
          <t>剑&amp;盾 CS6a 碧海暗影 啸</t>
        </is>
      </c>
      <c r="C116" s="78" t="inlineStr">
        <is>
          <t>肥盒</t>
        </is>
      </c>
      <c r="D116" s="79" t="inlineStr">
        <is>
          <t>原盒</t>
        </is>
      </c>
      <c r="E116" s="78" t="inlineStr">
        <is>
          <t>售罄</t>
        </is>
      </c>
      <c r="F116" s="78" t="n">
        <v>0</v>
      </c>
      <c r="G116" s="78" t="n">
        <v>5800</v>
      </c>
      <c r="H116" s="78" t="n">
        <v>155.61</v>
      </c>
      <c r="I116" s="78" t="inlineStr">
        <is>
          <t>简中</t>
        </is>
      </c>
      <c r="J116" s="78" t="inlineStr">
        <is>
          <t>否</t>
        </is>
      </c>
      <c r="K116" s="78" t="inlineStr">
        <is>
          <t>否</t>
        </is>
      </c>
      <c r="L116" s="78" t="n">
        <v>6</v>
      </c>
      <c r="M116" s="77" t="inlineStr">
        <is>
          <t>/products/cs6a-box.png</t>
        </is>
      </c>
      <c r="N116" s="78" t="n"/>
      <c r="O116" s="78" t="inlineStr">
        <is>
          <t>扩充包</t>
        </is>
      </c>
      <c r="P116" s="77" t="inlineStr">
        <is>
          <t>简中宝可梦 剑&amp;盾 碧海暗影（CS6aC），2024年9月20日发售，SS 时代最终弹，5张/包×30包/盒。</t>
        </is>
      </c>
      <c r="Q116" s="77" t="inlineStr">
        <is>
          <t>cmqukjumf000n2odkepdnx5fh</t>
        </is>
      </c>
      <c r="R116" s="77" t="inlineStr">
        <is>
          <t>碧海暗影-box-简中</t>
        </is>
      </c>
      <c r="S116" s="78" t="inlineStr">
        <is>
          <t>Pokemon</t>
        </is>
      </c>
      <c r="T116" s="77" t="inlineStr">
        <is>
          <t>https://pimart-card-production.up.railway.app/products/%E7%A2%A7%E6%B5%B7%E6%9A%97%E5%BD%B1-box-%E7%AE%80%E4%B8%AD</t>
        </is>
      </c>
    </row>
    <row r="117" hidden="1" outlineLevel="1" ht="17" customHeight="1" s="59">
      <c r="A117" s="80" t="inlineStr">
        <is>
          <t>补充包 碧海暗影 啸 肥盒 BOX（简中）</t>
        </is>
      </c>
      <c r="B117" s="80" t="inlineStr">
        <is>
          <t>剑&amp;盾 CS6a 碧海暗影 啸</t>
        </is>
      </c>
      <c r="C117" s="81" t="inlineStr">
        <is>
          <t>肥盒</t>
        </is>
      </c>
      <c r="D117" s="82" t="inlineStr">
        <is>
          <t>散包</t>
        </is>
      </c>
      <c r="E117" s="81" t="inlineStr">
        <is>
          <t>售罄</t>
        </is>
      </c>
      <c r="F117" s="81" t="n"/>
      <c r="G117" s="81" t="n"/>
      <c r="H117" s="81" t="n">
        <v>155.61</v>
      </c>
      <c r="I117" s="81" t="inlineStr">
        <is>
          <t>简中</t>
        </is>
      </c>
      <c r="J117" s="81" t="inlineStr">
        <is>
          <t>否</t>
        </is>
      </c>
      <c r="K117" s="81" t="inlineStr">
        <is>
          <t>否</t>
        </is>
      </c>
      <c r="L117" s="81" t="n">
        <v>6</v>
      </c>
      <c r="M117" s="80" t="inlineStr">
        <is>
          <t>/products/cs6a-box.png</t>
        </is>
      </c>
      <c r="N117" s="81" t="n"/>
      <c r="O117" s="81" t="inlineStr">
        <is>
          <t>扩充包</t>
        </is>
      </c>
      <c r="P117" s="80" t="inlineStr">
        <is>
          <t>简中宝可梦 剑&amp;盾 碧海暗影（CS6aC），2024年9月20日发售，SS 时代最终弹，5张/包×30包/盒。</t>
        </is>
      </c>
      <c r="Q117" s="80" t="inlineStr">
        <is>
          <t>cmqukjumf000n2odkepdnx5fh</t>
        </is>
      </c>
      <c r="R117" s="80" t="inlineStr">
        <is>
          <t>碧海暗影-box-简中</t>
        </is>
      </c>
      <c r="S117" s="81" t="inlineStr">
        <is>
          <t>Pokemon</t>
        </is>
      </c>
      <c r="T117" s="80" t="inlineStr">
        <is>
          <t>https://pimart-card-production.up.railway.app/products/%E7%A2%A7%E6%B5%B7%E6%9A%97%E5%BD%B1-box-%E7%AE%80%E4%B8%AD</t>
        </is>
      </c>
    </row>
    <row r="118" hidden="1" outlineLevel="1" ht="17" customHeight="1" s="59">
      <c r="A118" s="80" t="inlineStr">
        <is>
          <t>补充包 碧海暗影 啸 肥盒 BOX（简中）</t>
        </is>
      </c>
      <c r="B118" s="80" t="inlineStr">
        <is>
          <t>剑&amp;盾 CS6a 碧海暗影 啸</t>
        </is>
      </c>
      <c r="C118" s="81" t="inlineStr">
        <is>
          <t>肥盒</t>
        </is>
      </c>
      <c r="D118" s="82" t="inlineStr">
        <is>
          <t>原箱</t>
        </is>
      </c>
      <c r="E118" s="81" t="inlineStr">
        <is>
          <t>售罄</t>
        </is>
      </c>
      <c r="F118" s="81" t="n"/>
      <c r="G118" s="81" t="n"/>
      <c r="H118" s="81" t="n">
        <v>155.61</v>
      </c>
      <c r="I118" s="81" t="inlineStr">
        <is>
          <t>简中</t>
        </is>
      </c>
      <c r="J118" s="81" t="inlineStr">
        <is>
          <t>否</t>
        </is>
      </c>
      <c r="K118" s="81" t="inlineStr">
        <is>
          <t>否</t>
        </is>
      </c>
      <c r="L118" s="81" t="n">
        <v>6</v>
      </c>
      <c r="M118" s="80" t="inlineStr">
        <is>
          <t>/products/cs6a-box.png</t>
        </is>
      </c>
      <c r="N118" s="81" t="n"/>
      <c r="O118" s="81" t="inlineStr">
        <is>
          <t>扩充包</t>
        </is>
      </c>
      <c r="P118" s="80" t="inlineStr">
        <is>
          <t>简中宝可梦 剑&amp;盾 碧海暗影（CS6aC），2024年9月20日发售，SS 时代最终弹，5张/包×30包/盒。</t>
        </is>
      </c>
      <c r="Q118" s="80" t="inlineStr">
        <is>
          <t>cmqukjumf000n2odkepdnx5fh</t>
        </is>
      </c>
      <c r="R118" s="80" t="inlineStr">
        <is>
          <t>碧海暗影-box-简中</t>
        </is>
      </c>
      <c r="S118" s="81" t="inlineStr">
        <is>
          <t>Pokemon</t>
        </is>
      </c>
      <c r="T118" s="80" t="inlineStr">
        <is>
          <t>https://pimart-card-production.up.railway.app/products/%E7%A2%A7%E6%B5%B7%E6%9A%97%E5%BD%B1-box-%E7%AE%80%E4%B8%AD</t>
        </is>
      </c>
    </row>
    <row r="119" collapsed="1" ht="18" customHeight="1" s="59">
      <c r="A119" s="83" t="inlineStr">
        <is>
          <t>补充包 碧海暗影 逐 瘦盒 BOX（简中）</t>
        </is>
      </c>
      <c r="B119" s="83" t="inlineStr">
        <is>
          <t>剑&amp;盾 CS6b 碧海暗影 逐</t>
        </is>
      </c>
      <c r="C119" s="84" t="inlineStr">
        <is>
          <t>瘦盒</t>
        </is>
      </c>
      <c r="D119" s="79" t="inlineStr">
        <is>
          <t>原盒</t>
        </is>
      </c>
      <c r="E119" s="84" t="inlineStr">
        <is>
          <t>售罄</t>
        </is>
      </c>
      <c r="F119" s="84" t="n">
        <v>0</v>
      </c>
      <c r="G119" s="84" t="n">
        <v>0</v>
      </c>
      <c r="H119" s="84" t="n"/>
      <c r="I119" s="84" t="inlineStr">
        <is>
          <t>简中</t>
        </is>
      </c>
      <c r="J119" s="84" t="inlineStr">
        <is>
          <t>否</t>
        </is>
      </c>
      <c r="K119" s="84" t="inlineStr">
        <is>
          <t>否</t>
        </is>
      </c>
      <c r="L119" s="84" t="n">
        <v>6</v>
      </c>
      <c r="M119" s="83" t="inlineStr">
        <is>
          <t>/products/cs6b-slim.png</t>
        </is>
      </c>
      <c r="N119" s="84" t="n"/>
      <c r="O119" s="84" t="inlineStr">
        <is>
          <t>扩充包</t>
        </is>
      </c>
      <c r="P119" s="83" t="inlineStr">
        <is>
          <t>剑&amp;盾第六弹「碧海暗影 逐」（CS6bC），2024-09-20发售；与 CS6aC「碧海暗影 啸」为独立版本。</t>
        </is>
      </c>
      <c r="Q119" s="83" t="n"/>
      <c r="R119" s="83" t="inlineStr">
        <is>
          <t>cs6b-slim-box-简中</t>
        </is>
      </c>
      <c r="S119" s="84" t="inlineStr">
        <is>
          <t>Pokemon</t>
        </is>
      </c>
      <c r="T119" s="83" t="n"/>
    </row>
    <row r="120" hidden="1" outlineLevel="1" collapsed="1" ht="17" customHeight="1" s="59">
      <c r="A120" s="80" t="inlineStr">
        <is>
          <t>补充包 碧海暗影 逐 瘦盒 BOX（简中）</t>
        </is>
      </c>
      <c r="B120" s="80" t="inlineStr">
        <is>
          <t>剑&amp;盾 CS6b 碧海暗影 逐</t>
        </is>
      </c>
      <c r="C120" s="81" t="inlineStr">
        <is>
          <t>瘦盒</t>
        </is>
      </c>
      <c r="D120" s="82" t="inlineStr">
        <is>
          <t>散包</t>
        </is>
      </c>
      <c r="E120" s="81" t="inlineStr">
        <is>
          <t>售罄</t>
        </is>
      </c>
      <c r="F120" s="81" t="n">
        <v>0</v>
      </c>
      <c r="G120" s="81" t="n">
        <v>0</v>
      </c>
      <c r="H120" s="81" t="n"/>
      <c r="I120" s="81" t="inlineStr">
        <is>
          <t>简中</t>
        </is>
      </c>
      <c r="J120" s="81" t="inlineStr">
        <is>
          <t>否</t>
        </is>
      </c>
      <c r="K120" s="81" t="inlineStr">
        <is>
          <t>否</t>
        </is>
      </c>
      <c r="L120" s="81" t="n">
        <v>6</v>
      </c>
      <c r="M120" s="80" t="inlineStr">
        <is>
          <t>/products/cs6b-slim.png</t>
        </is>
      </c>
      <c r="N120" s="81" t="n"/>
      <c r="O120" s="81" t="inlineStr">
        <is>
          <t>扩充包</t>
        </is>
      </c>
      <c r="P120" s="80" t="inlineStr">
        <is>
          <t>剑&amp;盾第六弹「碧海暗影 逐」（CS6bC），2024-09-20发售；与 CS6aC「碧海暗影 啸」为独立版本。</t>
        </is>
      </c>
      <c r="Q120" s="80" t="n"/>
      <c r="R120" s="80" t="inlineStr">
        <is>
          <t>cs6b-slim-pack-简中</t>
        </is>
      </c>
      <c r="S120" s="81" t="inlineStr">
        <is>
          <t>Pokemon</t>
        </is>
      </c>
      <c r="T120" s="80" t="n"/>
    </row>
    <row r="121" hidden="1" outlineLevel="1" ht="17" customHeight="1" s="59">
      <c r="A121" s="80" t="inlineStr">
        <is>
          <t>补充包 碧海暗影 逐 瘦盒 BOX（简中）</t>
        </is>
      </c>
      <c r="B121" s="80" t="inlineStr">
        <is>
          <t>剑&amp;盾 CS6b 碧海暗影 逐</t>
        </is>
      </c>
      <c r="C121" s="81" t="inlineStr">
        <is>
          <t>瘦盒</t>
        </is>
      </c>
      <c r="D121" s="82" t="inlineStr">
        <is>
          <t>原箱</t>
        </is>
      </c>
      <c r="E121" s="81" t="inlineStr">
        <is>
          <t>售罄</t>
        </is>
      </c>
      <c r="F121" s="81" t="n">
        <v>0</v>
      </c>
      <c r="G121" s="81" t="n">
        <v>0</v>
      </c>
      <c r="H121" s="81" t="n"/>
      <c r="I121" s="81" t="inlineStr">
        <is>
          <t>简中</t>
        </is>
      </c>
      <c r="J121" s="81" t="inlineStr">
        <is>
          <t>否</t>
        </is>
      </c>
      <c r="K121" s="81" t="inlineStr">
        <is>
          <t>否</t>
        </is>
      </c>
      <c r="L121" s="81" t="n">
        <v>6</v>
      </c>
      <c r="M121" s="80" t="inlineStr">
        <is>
          <t>/products/cs6b-slim.png</t>
        </is>
      </c>
      <c r="N121" s="81" t="n"/>
      <c r="O121" s="81" t="inlineStr">
        <is>
          <t>扩充包</t>
        </is>
      </c>
      <c r="P121" s="80" t="inlineStr">
        <is>
          <t>剑&amp;盾第六弹「碧海暗影 逐」（CS6bC），2024-09-20发售；与 CS6aC「碧海暗影 啸」为独立版本。</t>
        </is>
      </c>
      <c r="Q121" s="80" t="n"/>
      <c r="R121" s="80" t="inlineStr">
        <is>
          <t>cs6b-slim-case-简中</t>
        </is>
      </c>
      <c r="S121" s="81" t="inlineStr">
        <is>
          <t>Pokemon</t>
        </is>
      </c>
      <c r="T121" s="80" t="n"/>
    </row>
    <row r="122" collapsed="1" ht="18" customHeight="1" s="59">
      <c r="A122" s="77" t="inlineStr">
        <is>
          <t>补充包 碧海暗影 逐 肥盒 BOX（简中）</t>
        </is>
      </c>
      <c r="B122" s="77" t="inlineStr">
        <is>
          <t>剑&amp;盾 CS6b 碧海暗影 逐</t>
        </is>
      </c>
      <c r="C122" s="78" t="inlineStr">
        <is>
          <t>肥盒</t>
        </is>
      </c>
      <c r="D122" s="79" t="inlineStr">
        <is>
          <t>原盒</t>
        </is>
      </c>
      <c r="E122" s="78" t="inlineStr">
        <is>
          <t>售罄</t>
        </is>
      </c>
      <c r="F122" s="78" t="n">
        <v>0</v>
      </c>
      <c r="G122" s="78" t="n"/>
      <c r="H122" s="78" t="n"/>
      <c r="I122" s="78" t="n"/>
      <c r="J122" s="78" t="n"/>
      <c r="K122" s="78" t="n"/>
      <c r="L122" s="78" t="n"/>
      <c r="M122" s="77" t="inlineStr">
        <is>
          <t>/products/cs6b-fat.png</t>
        </is>
      </c>
      <c r="N122" s="78" t="n"/>
      <c r="O122" s="78" t="inlineStr">
        <is>
          <t>扩充包</t>
        </is>
      </c>
      <c r="P122" s="77" t="inlineStr">
        <is>
          <t>剑&amp;盾第六弹「碧海暗影 逐」（CS6bC），2024-09-20发售；与 CS6aC「碧海暗影 啸」为独立版本。</t>
        </is>
      </c>
      <c r="Q122" s="77" t="n"/>
      <c r="R122" s="77" t="inlineStr">
        <is>
          <t>cs6b-fat-box-简中</t>
        </is>
      </c>
      <c r="S122" s="78" t="inlineStr">
        <is>
          <t>Pokemon</t>
        </is>
      </c>
      <c r="T122" s="77" t="n"/>
    </row>
    <row r="123" hidden="1" outlineLevel="1" collapsed="1" ht="17" customHeight="1" s="59">
      <c r="A123" s="80" t="inlineStr">
        <is>
          <t>补充包 碧海暗影 逐 肥盒 BOX（简中）</t>
        </is>
      </c>
      <c r="B123" s="80" t="inlineStr">
        <is>
          <t>剑&amp;盾 CS6b 碧海暗影 逐</t>
        </is>
      </c>
      <c r="C123" s="81" t="inlineStr">
        <is>
          <t>肥盒</t>
        </is>
      </c>
      <c r="D123" s="82" t="inlineStr">
        <is>
          <t>散包</t>
        </is>
      </c>
      <c r="E123" s="81" t="inlineStr">
        <is>
          <t>售罄</t>
        </is>
      </c>
      <c r="F123" s="81" t="n">
        <v>0</v>
      </c>
      <c r="G123" s="81" t="n">
        <v>0</v>
      </c>
      <c r="H123" s="81" t="n"/>
      <c r="I123" s="81" t="inlineStr">
        <is>
          <t>简中</t>
        </is>
      </c>
      <c r="J123" s="81" t="inlineStr">
        <is>
          <t>否</t>
        </is>
      </c>
      <c r="K123" s="81" t="inlineStr">
        <is>
          <t>否</t>
        </is>
      </c>
      <c r="L123" s="81" t="n">
        <v>6</v>
      </c>
      <c r="M123" s="80" t="inlineStr">
        <is>
          <t>/products/cs6b-fat.png</t>
        </is>
      </c>
      <c r="N123" s="81" t="n"/>
      <c r="O123" s="81" t="inlineStr">
        <is>
          <t>扩充包</t>
        </is>
      </c>
      <c r="P123" s="80" t="inlineStr">
        <is>
          <t>剑&amp;盾第六弹「碧海暗影 逐」（CS6bC），2024-09-20发售；与 CS6aC「碧海暗影 啸」为独立版本。</t>
        </is>
      </c>
      <c r="Q123" s="80" t="n"/>
      <c r="R123" s="80" t="inlineStr">
        <is>
          <t>cs6b-fat-pack-简中</t>
        </is>
      </c>
      <c r="S123" s="81" t="inlineStr">
        <is>
          <t>Pokemon</t>
        </is>
      </c>
      <c r="T123" s="80" t="n"/>
    </row>
    <row r="124" hidden="1" outlineLevel="1" ht="17" customHeight="1" s="59">
      <c r="A124" s="80" t="inlineStr">
        <is>
          <t>补充包 碧海暗影 逐 肥盒 BOX（简中）</t>
        </is>
      </c>
      <c r="B124" s="80" t="inlineStr">
        <is>
          <t>剑&amp;盾 CS6b 碧海暗影 逐</t>
        </is>
      </c>
      <c r="C124" s="81" t="inlineStr">
        <is>
          <t>肥盒</t>
        </is>
      </c>
      <c r="D124" s="82" t="inlineStr">
        <is>
          <t>原箱</t>
        </is>
      </c>
      <c r="E124" s="81" t="inlineStr">
        <is>
          <t>售罄</t>
        </is>
      </c>
      <c r="F124" s="81" t="n">
        <v>0</v>
      </c>
      <c r="G124" s="81" t="n">
        <v>0</v>
      </c>
      <c r="H124" s="81" t="n"/>
      <c r="I124" s="81" t="inlineStr">
        <is>
          <t>简中</t>
        </is>
      </c>
      <c r="J124" s="81" t="inlineStr">
        <is>
          <t>否</t>
        </is>
      </c>
      <c r="K124" s="81" t="inlineStr">
        <is>
          <t>否</t>
        </is>
      </c>
      <c r="L124" s="81" t="n">
        <v>6</v>
      </c>
      <c r="M124" s="80" t="inlineStr">
        <is>
          <t>/products/cs6b-fat.png</t>
        </is>
      </c>
      <c r="N124" s="81" t="n"/>
      <c r="O124" s="81" t="inlineStr">
        <is>
          <t>扩充包</t>
        </is>
      </c>
      <c r="P124" s="80" t="inlineStr">
        <is>
          <t>剑&amp;盾第六弹「碧海暗影 逐」（CS6bC），2024-09-20发售；与 CS6aC「碧海暗影 啸」为独立版本。</t>
        </is>
      </c>
      <c r="Q124" s="80" t="n"/>
      <c r="R124" s="80" t="inlineStr">
        <is>
          <t>cs6b-fat-case-简中</t>
        </is>
      </c>
      <c r="S124" s="81" t="inlineStr">
        <is>
          <t>Pokemon</t>
        </is>
      </c>
      <c r="T124" s="80" t="n"/>
    </row>
    <row r="125" collapsed="1" ht="18" customHeight="1" s="59">
      <c r="A125" s="76" t="inlineStr">
        <is>
          <t xml:space="preserve">  第5弹</t>
        </is>
      </c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</row>
    <row r="126" collapsed="1" ht="18" customHeight="1" s="59">
      <c r="A126" s="83" t="inlineStr">
        <is>
          <t>强化包 暗影夺辉 BOX（简中）</t>
        </is>
      </c>
      <c r="B126" s="83" t="inlineStr">
        <is>
          <t>剑&amp;盾 CS5.5</t>
        </is>
      </c>
      <c r="C126" s="84" t="inlineStr">
        <is>
          <t>强化包(瘦盒)</t>
        </is>
      </c>
      <c r="D126" s="79" t="inlineStr">
        <is>
          <t>原盒</t>
        </is>
      </c>
      <c r="E126" s="84" t="inlineStr">
        <is>
          <t>售罄</t>
        </is>
      </c>
      <c r="F126" s="84" t="n">
        <v>0</v>
      </c>
      <c r="G126" s="84" t="n">
        <v>3800</v>
      </c>
      <c r="H126" s="84" t="n">
        <v>101.95</v>
      </c>
      <c r="I126" s="84" t="inlineStr">
        <is>
          <t>简中</t>
        </is>
      </c>
      <c r="J126" s="84" t="inlineStr">
        <is>
          <t>否</t>
        </is>
      </c>
      <c r="K126" s="84" t="inlineStr">
        <is>
          <t>否</t>
        </is>
      </c>
      <c r="L126" s="84" t="n">
        <v>6</v>
      </c>
      <c r="M126" s="83" t="inlineStr">
        <is>
          <t>/products/cs55-box.png</t>
        </is>
      </c>
      <c r="N126" s="84" t="n"/>
      <c r="O126" s="84" t="inlineStr">
        <is>
          <t>扩充包</t>
        </is>
      </c>
      <c r="P126" s="83" t="inlineStr">
        <is>
          <t>官网：剑&amp;盾 强化包 暗影夺辉（CS5.5）。6张/包×20包/盒。配对补充包：勇魅群星 CS5a/b。 | 简中宝可梦 剑&amp;盾 强化包 暗影夺辉（CS5.5C），6张/包×20包/盒。</t>
        </is>
      </c>
      <c r="Q126" s="83" t="inlineStr">
        <is>
          <t>cmqukjuma000m2odkdc4xwyie</t>
        </is>
      </c>
      <c r="R126" s="83" t="inlineStr">
        <is>
          <t>暗影夺辉-box-简中</t>
        </is>
      </c>
      <c r="S126" s="84" t="inlineStr">
        <is>
          <t>Pokemon</t>
        </is>
      </c>
      <c r="T126" s="83" t="inlineStr">
        <is>
          <t>https://pimart-card-production.up.railway.app/products/%E6%9A%97%E5%BD%B1%E5%A4%BA%E8%BE%89-box-%E7%AE%80%E4%B8%AD</t>
        </is>
      </c>
    </row>
    <row r="127" hidden="1" outlineLevel="1" ht="17" customHeight="1" s="59">
      <c r="A127" s="80" t="inlineStr">
        <is>
          <t>强化包 暗影夺辉 BOX（简中）</t>
        </is>
      </c>
      <c r="B127" s="80" t="inlineStr">
        <is>
          <t>剑&amp;盾 CS5.5</t>
        </is>
      </c>
      <c r="C127" s="81" t="inlineStr">
        <is>
          <t>强化包(瘦盒)</t>
        </is>
      </c>
      <c r="D127" s="82" t="inlineStr">
        <is>
          <t>散包</t>
        </is>
      </c>
      <c r="E127" s="81" t="inlineStr">
        <is>
          <t>售罄</t>
        </is>
      </c>
      <c r="F127" s="81" t="n"/>
      <c r="G127" s="81" t="n"/>
      <c r="H127" s="81" t="n">
        <v>101.95</v>
      </c>
      <c r="I127" s="81" t="inlineStr">
        <is>
          <t>简中</t>
        </is>
      </c>
      <c r="J127" s="81" t="inlineStr">
        <is>
          <t>否</t>
        </is>
      </c>
      <c r="K127" s="81" t="inlineStr">
        <is>
          <t>否</t>
        </is>
      </c>
      <c r="L127" s="81" t="n">
        <v>6</v>
      </c>
      <c r="M127" s="80" t="inlineStr">
        <is>
          <t>/products/cs55-box.png</t>
        </is>
      </c>
      <c r="N127" s="81" t="n"/>
      <c r="O127" s="81" t="inlineStr">
        <is>
          <t>扩充包</t>
        </is>
      </c>
      <c r="P127" s="80" t="inlineStr">
        <is>
          <t>官网：剑&amp;盾 强化包 暗影夺辉（CS5.5）。6张/包×20包/盒。配对补充包：勇魅群星 CS5a/b。 | 简中宝可梦 剑&amp;盾 强化包 暗影夺辉（CS5.5C），6张/包×20包/盒。</t>
        </is>
      </c>
      <c r="Q127" s="80" t="inlineStr">
        <is>
          <t>cmqukjuma000m2odkdc4xwyie</t>
        </is>
      </c>
      <c r="R127" s="80" t="inlineStr">
        <is>
          <t>暗影夺辉-box-简中</t>
        </is>
      </c>
      <c r="S127" s="81" t="inlineStr">
        <is>
          <t>Pokemon</t>
        </is>
      </c>
      <c r="T127" s="80" t="inlineStr">
        <is>
          <t>https://pimart-card-production.up.railway.app/products/%E6%9A%97%E5%BD%B1%E5%A4%BA%E8%BE%89-box-%E7%AE%80%E4%B8%AD</t>
        </is>
      </c>
    </row>
    <row r="128" hidden="1" outlineLevel="1" ht="17" customHeight="1" s="59">
      <c r="A128" s="80" t="inlineStr">
        <is>
          <t>强化包 暗影夺辉 BOX（简中）</t>
        </is>
      </c>
      <c r="B128" s="80" t="inlineStr">
        <is>
          <t>剑&amp;盾 CS5.5</t>
        </is>
      </c>
      <c r="C128" s="81" t="inlineStr">
        <is>
          <t>强化包(瘦盒)</t>
        </is>
      </c>
      <c r="D128" s="82" t="inlineStr">
        <is>
          <t>原箱</t>
        </is>
      </c>
      <c r="E128" s="81" t="inlineStr">
        <is>
          <t>售罄</t>
        </is>
      </c>
      <c r="F128" s="81" t="n"/>
      <c r="G128" s="81" t="n"/>
      <c r="H128" s="81" t="n">
        <v>101.95</v>
      </c>
      <c r="I128" s="81" t="inlineStr">
        <is>
          <t>简中</t>
        </is>
      </c>
      <c r="J128" s="81" t="inlineStr">
        <is>
          <t>否</t>
        </is>
      </c>
      <c r="K128" s="81" t="inlineStr">
        <is>
          <t>否</t>
        </is>
      </c>
      <c r="L128" s="81" t="n">
        <v>6</v>
      </c>
      <c r="M128" s="80" t="inlineStr">
        <is>
          <t>/products/cs55-box.png</t>
        </is>
      </c>
      <c r="N128" s="81" t="n"/>
      <c r="O128" s="81" t="inlineStr">
        <is>
          <t>扩充包</t>
        </is>
      </c>
      <c r="P128" s="80" t="inlineStr">
        <is>
          <t>官网：剑&amp;盾 强化包 暗影夺辉（CS5.5）。6张/包×20包/盒。配对补充包：勇魅群星 CS5a/b。 | 简中宝可梦 剑&amp;盾 强化包 暗影夺辉（CS5.5C），6张/包×20包/盒。</t>
        </is>
      </c>
      <c r="Q128" s="80" t="inlineStr">
        <is>
          <t>cmqukjuma000m2odkdc4xwyie</t>
        </is>
      </c>
      <c r="R128" s="80" t="inlineStr">
        <is>
          <t>暗影夺辉-box-简中</t>
        </is>
      </c>
      <c r="S128" s="81" t="inlineStr">
        <is>
          <t>Pokemon</t>
        </is>
      </c>
      <c r="T128" s="80" t="inlineStr">
        <is>
          <t>https://pimart-card-production.up.railway.app/products/%E6%9A%97%E5%BD%B1%E5%A4%BA%E8%BE%89-box-%E7%AE%80%E4%B8%AD</t>
        </is>
      </c>
    </row>
    <row r="129" collapsed="1" ht="18" customHeight="1" s="59">
      <c r="A129" s="77" t="inlineStr">
        <is>
          <t>补充包 勇魅群星 勇 瘦盒 BOX（简中）</t>
        </is>
      </c>
      <c r="B129" s="77" t="inlineStr">
        <is>
          <t>剑&amp;盾 CS5b</t>
        </is>
      </c>
      <c r="C129" s="78" t="inlineStr">
        <is>
          <t>瘦盒</t>
        </is>
      </c>
      <c r="D129" s="79" t="inlineStr">
        <is>
          <t>原盒</t>
        </is>
      </c>
      <c r="E129" s="78" t="inlineStr">
        <is>
          <t>售罄</t>
        </is>
      </c>
      <c r="F129" s="78" t="n">
        <v>0</v>
      </c>
      <c r="G129" s="78" t="n">
        <v>0</v>
      </c>
      <c r="H129" s="78" t="n"/>
      <c r="I129" s="78" t="n"/>
      <c r="J129" s="78" t="n"/>
      <c r="K129" s="78" t="n"/>
      <c r="L129" s="78" t="n"/>
      <c r="M129" s="77" t="inlineStr">
        <is>
          <t>/products/cs5b-slim.png</t>
        </is>
      </c>
      <c r="N129" s="78" t="n"/>
      <c r="O129" s="78" t="n"/>
      <c r="P129" s="77" t="n"/>
      <c r="Q129" s="77" t="n"/>
      <c r="R129" s="77" t="n"/>
      <c r="S129" s="78" t="n"/>
      <c r="T129" s="77" t="n"/>
    </row>
    <row r="130" hidden="1" outlineLevel="1" collapsed="1" ht="17" customHeight="1" s="59">
      <c r="A130" s="80" t="inlineStr">
        <is>
          <t>补充包 勇魅群星 勇 瘦盒 BOX（简中）</t>
        </is>
      </c>
      <c r="B130" s="80" t="inlineStr">
        <is>
          <t>剑&amp;盾 CS5b</t>
        </is>
      </c>
      <c r="C130" s="81" t="inlineStr">
        <is>
          <t>瘦盒</t>
        </is>
      </c>
      <c r="D130" s="82" t="inlineStr">
        <is>
          <t>散包</t>
        </is>
      </c>
      <c r="E130" s="81" t="inlineStr">
        <is>
          <t>售罄</t>
        </is>
      </c>
      <c r="F130" s="81" t="n">
        <v>0</v>
      </c>
      <c r="G130" s="81" t="n">
        <v>0</v>
      </c>
      <c r="H130" s="81" t="n"/>
      <c r="I130" s="81" t="n"/>
      <c r="J130" s="81" t="n"/>
      <c r="K130" s="81" t="n"/>
      <c r="L130" s="81" t="n"/>
      <c r="M130" s="80" t="inlineStr">
        <is>
          <t>/products/cs5b-slim.png</t>
        </is>
      </c>
      <c r="N130" s="81" t="n"/>
      <c r="O130" s="81" t="n"/>
      <c r="P130" s="80" t="n"/>
      <c r="Q130" s="80" t="n"/>
      <c r="R130" s="80" t="n"/>
      <c r="S130" s="81" t="n"/>
      <c r="T130" s="80" t="n"/>
    </row>
    <row r="131" hidden="1" outlineLevel="1" ht="17" customHeight="1" s="59">
      <c r="A131" s="80" t="inlineStr">
        <is>
          <t>补充包 勇魅群星 勇 瘦盒 BOX（简中）</t>
        </is>
      </c>
      <c r="B131" s="80" t="inlineStr">
        <is>
          <t>剑&amp;盾 CS5b</t>
        </is>
      </c>
      <c r="C131" s="81" t="inlineStr">
        <is>
          <t>瘦盒</t>
        </is>
      </c>
      <c r="D131" s="82" t="inlineStr">
        <is>
          <t>原箱</t>
        </is>
      </c>
      <c r="E131" s="81" t="inlineStr">
        <is>
          <t>售罄</t>
        </is>
      </c>
      <c r="F131" s="81" t="n">
        <v>0</v>
      </c>
      <c r="G131" s="81" t="n">
        <v>0</v>
      </c>
      <c r="H131" s="81" t="n"/>
      <c r="I131" s="81" t="n"/>
      <c r="J131" s="81" t="n"/>
      <c r="K131" s="81" t="n"/>
      <c r="L131" s="81" t="n"/>
      <c r="M131" s="80" t="inlineStr">
        <is>
          <t>/products/cs5b-slim.png</t>
        </is>
      </c>
      <c r="N131" s="81" t="n"/>
      <c r="O131" s="81" t="n"/>
      <c r="P131" s="80" t="n"/>
      <c r="Q131" s="80" t="n"/>
      <c r="R131" s="80" t="n"/>
      <c r="S131" s="81" t="n"/>
      <c r="T131" s="80" t="n"/>
    </row>
    <row r="132" collapsed="1" ht="18" customHeight="1" s="59">
      <c r="A132" s="83" t="inlineStr">
        <is>
          <t>补充包 勇魅群星 勇 肥盒 BOX（简中）</t>
        </is>
      </c>
      <c r="B132" s="83" t="inlineStr">
        <is>
          <t>剑&amp;盾 CS5b</t>
        </is>
      </c>
      <c r="C132" s="84" t="inlineStr">
        <is>
          <t>肥盒</t>
        </is>
      </c>
      <c r="D132" s="79" t="inlineStr">
        <is>
          <t>原盒</t>
        </is>
      </c>
      <c r="E132" s="84" t="inlineStr">
        <is>
          <t>售罄</t>
        </is>
      </c>
      <c r="F132" s="84" t="n">
        <v>0</v>
      </c>
      <c r="G132" s="84" t="n">
        <v>5400</v>
      </c>
      <c r="H132" s="84" t="n">
        <v>144.88</v>
      </c>
      <c r="I132" s="84" t="inlineStr">
        <is>
          <t>简中</t>
        </is>
      </c>
      <c r="J132" s="84" t="inlineStr">
        <is>
          <t>否</t>
        </is>
      </c>
      <c r="K132" s="84" t="inlineStr">
        <is>
          <t>否</t>
        </is>
      </c>
      <c r="L132" s="84" t="n">
        <v>6</v>
      </c>
      <c r="M132" s="83" t="inlineStr">
        <is>
          <t>/products/cs5b-slim.png</t>
        </is>
      </c>
      <c r="N132" s="84" t="n"/>
      <c r="O132" s="84" t="inlineStr">
        <is>
          <t>扩充包</t>
        </is>
      </c>
      <c r="P132" s="83" t="inlineStr">
        <is>
          <t>简中宝可梦 剑&amp;盾 勇魅群星 勇（CS5bC），2024年6月18日发售，5张/包×30包/盒。</t>
        </is>
      </c>
      <c r="Q132" s="83" t="inlineStr">
        <is>
          <t>cmqukjum5000l2odkm4v1udg2</t>
        </is>
      </c>
      <c r="R132" s="83" t="inlineStr">
        <is>
          <t>勇魅群星-勇-box-简中</t>
        </is>
      </c>
      <c r="S132" s="84" t="inlineStr">
        <is>
          <t>Pokemon</t>
        </is>
      </c>
      <c r="T132" s="83" t="inlineStr">
        <is>
          <t>https://pimart-card-production.up.railway.app/products/%E5%8B%87%E9%AD%85%E7%BE%A4%E6%98%9F-%E5%8B%87-box-%E7%AE%80%E4%B8%AD</t>
        </is>
      </c>
    </row>
    <row r="133" hidden="1" outlineLevel="1" collapsed="1" ht="17" customHeight="1" s="59">
      <c r="A133" s="80" t="inlineStr">
        <is>
          <t>补充包 勇魅群星 勇 肥盒 BOX（简中）</t>
        </is>
      </c>
      <c r="B133" s="80" t="inlineStr">
        <is>
          <t>剑&amp;盾 CS5b</t>
        </is>
      </c>
      <c r="C133" s="81" t="inlineStr">
        <is>
          <t>肥盒</t>
        </is>
      </c>
      <c r="D133" s="82" t="inlineStr">
        <is>
          <t>散包</t>
        </is>
      </c>
      <c r="E133" s="81" t="inlineStr">
        <is>
          <t>售罄</t>
        </is>
      </c>
      <c r="F133" s="81" t="n"/>
      <c r="G133" s="81" t="n"/>
      <c r="H133" s="81" t="n">
        <v>144.88</v>
      </c>
      <c r="I133" s="81" t="inlineStr">
        <is>
          <t>简中</t>
        </is>
      </c>
      <c r="J133" s="81" t="inlineStr">
        <is>
          <t>否</t>
        </is>
      </c>
      <c r="K133" s="81" t="inlineStr">
        <is>
          <t>否</t>
        </is>
      </c>
      <c r="L133" s="81" t="n">
        <v>6</v>
      </c>
      <c r="M133" s="80" t="inlineStr">
        <is>
          <t>/products/cs5b-slim.png</t>
        </is>
      </c>
      <c r="N133" s="81" t="n"/>
      <c r="O133" s="81" t="inlineStr">
        <is>
          <t>扩充包</t>
        </is>
      </c>
      <c r="P133" s="80" t="inlineStr">
        <is>
          <t>简中宝可梦 剑&amp;盾 勇魅群星 勇（CS5bC），2024年6月18日发售，5张/包×30包/盒。</t>
        </is>
      </c>
      <c r="Q133" s="80" t="inlineStr">
        <is>
          <t>cmqukjum5000l2odkm4v1udg2</t>
        </is>
      </c>
      <c r="R133" s="80" t="inlineStr">
        <is>
          <t>勇魅群星-勇-box-简中</t>
        </is>
      </c>
      <c r="S133" s="81" t="inlineStr">
        <is>
          <t>Pokemon</t>
        </is>
      </c>
      <c r="T133" s="80" t="inlineStr">
        <is>
          <t>https://pimart-card-production.up.railway.app/products/%E5%8B%87%E9%AD%85%E7%BE%A4%E6%98%9F-%E5%8B%87-box-%E7%AE%80%E4%B8%AD</t>
        </is>
      </c>
    </row>
    <row r="134" hidden="1" outlineLevel="1" ht="17" customHeight="1" s="59">
      <c r="A134" s="80" t="inlineStr">
        <is>
          <t>补充包 勇魅群星 勇 肥盒 BOX（简中）</t>
        </is>
      </c>
      <c r="B134" s="80" t="inlineStr">
        <is>
          <t>剑&amp;盾 CS5b</t>
        </is>
      </c>
      <c r="C134" s="81" t="inlineStr">
        <is>
          <t>肥盒</t>
        </is>
      </c>
      <c r="D134" s="82" t="inlineStr">
        <is>
          <t>原箱</t>
        </is>
      </c>
      <c r="E134" s="81" t="inlineStr">
        <is>
          <t>售罄</t>
        </is>
      </c>
      <c r="F134" s="81" t="n"/>
      <c r="G134" s="81" t="n"/>
      <c r="H134" s="81" t="n">
        <v>144.88</v>
      </c>
      <c r="I134" s="81" t="inlineStr">
        <is>
          <t>简中</t>
        </is>
      </c>
      <c r="J134" s="81" t="inlineStr">
        <is>
          <t>否</t>
        </is>
      </c>
      <c r="K134" s="81" t="inlineStr">
        <is>
          <t>否</t>
        </is>
      </c>
      <c r="L134" s="81" t="n">
        <v>6</v>
      </c>
      <c r="M134" s="80" t="inlineStr">
        <is>
          <t>/products/cs5b-slim.png</t>
        </is>
      </c>
      <c r="N134" s="81" t="n"/>
      <c r="O134" s="81" t="inlineStr">
        <is>
          <t>扩充包</t>
        </is>
      </c>
      <c r="P134" s="80" t="inlineStr">
        <is>
          <t>简中宝可梦 剑&amp;盾 勇魅群星 勇（CS5bC），2024年6月18日发售，5张/包×30包/盒。</t>
        </is>
      </c>
      <c r="Q134" s="80" t="inlineStr">
        <is>
          <t>cmqukjum5000l2odkm4v1udg2</t>
        </is>
      </c>
      <c r="R134" s="80" t="inlineStr">
        <is>
          <t>勇魅群星-勇-box-简中</t>
        </is>
      </c>
      <c r="S134" s="81" t="inlineStr">
        <is>
          <t>Pokemon</t>
        </is>
      </c>
      <c r="T134" s="80" t="inlineStr">
        <is>
          <t>https://pimart-card-production.up.railway.app/products/%E5%8B%87%E9%AD%85%E7%BE%A4%E6%98%9F-%E5%8B%87-box-%E7%AE%80%E4%B8%AD</t>
        </is>
      </c>
    </row>
    <row r="135" collapsed="1" ht="18" customHeight="1" s="59">
      <c r="A135" s="77" t="inlineStr">
        <is>
          <t>补充包 勇魅群星 魅 瘦盒 BOX（简中）</t>
        </is>
      </c>
      <c r="B135" s="77" t="inlineStr">
        <is>
          <t>剑&amp;盾 CS5a</t>
        </is>
      </c>
      <c r="C135" s="78" t="inlineStr">
        <is>
          <t>瘦盒</t>
        </is>
      </c>
      <c r="D135" s="79" t="inlineStr">
        <is>
          <t>原盒</t>
        </is>
      </c>
      <c r="E135" s="78" t="inlineStr">
        <is>
          <t>售罄</t>
        </is>
      </c>
      <c r="F135" s="78" t="n">
        <v>0</v>
      </c>
      <c r="G135" s="78" t="n">
        <v>0</v>
      </c>
      <c r="H135" s="78" t="n"/>
      <c r="I135" s="78" t="n"/>
      <c r="J135" s="78" t="n"/>
      <c r="K135" s="78" t="n"/>
      <c r="L135" s="78" t="n"/>
      <c r="M135" s="77" t="inlineStr">
        <is>
          <t>/products/cs5a-slim.png</t>
        </is>
      </c>
      <c r="N135" s="78" t="n"/>
      <c r="O135" s="78" t="n"/>
      <c r="P135" s="77" t="n"/>
      <c r="Q135" s="77" t="n"/>
      <c r="R135" s="77" t="n"/>
      <c r="S135" s="78" t="n"/>
      <c r="T135" s="77" t="n"/>
    </row>
    <row r="136" hidden="1" outlineLevel="1" collapsed="1" ht="17" customHeight="1" s="59">
      <c r="A136" s="80" t="inlineStr">
        <is>
          <t>补充包 勇魅群星 魅 瘦盒 BOX（简中）</t>
        </is>
      </c>
      <c r="B136" s="80" t="inlineStr">
        <is>
          <t>剑&amp;盾 CS5a</t>
        </is>
      </c>
      <c r="C136" s="81" t="inlineStr">
        <is>
          <t>瘦盒</t>
        </is>
      </c>
      <c r="D136" s="82" t="inlineStr">
        <is>
          <t>散包</t>
        </is>
      </c>
      <c r="E136" s="81" t="inlineStr">
        <is>
          <t>售罄</t>
        </is>
      </c>
      <c r="F136" s="81" t="n">
        <v>0</v>
      </c>
      <c r="G136" s="81" t="n">
        <v>0</v>
      </c>
      <c r="H136" s="81" t="n"/>
      <c r="I136" s="81" t="n"/>
      <c r="J136" s="81" t="n"/>
      <c r="K136" s="81" t="n"/>
      <c r="L136" s="81" t="n"/>
      <c r="M136" s="80" t="inlineStr">
        <is>
          <t>/products/cs5a-slim.png</t>
        </is>
      </c>
      <c r="N136" s="81" t="n"/>
      <c r="O136" s="81" t="n"/>
      <c r="P136" s="80" t="n"/>
      <c r="Q136" s="80" t="n"/>
      <c r="R136" s="80" t="n"/>
      <c r="S136" s="81" t="n"/>
      <c r="T136" s="80" t="n"/>
    </row>
    <row r="137" hidden="1" outlineLevel="1" ht="17" customHeight="1" s="59">
      <c r="A137" s="80" t="inlineStr">
        <is>
          <t>补充包 勇魅群星 魅 瘦盒 BOX（简中）</t>
        </is>
      </c>
      <c r="B137" s="80" t="inlineStr">
        <is>
          <t>剑&amp;盾 CS5a</t>
        </is>
      </c>
      <c r="C137" s="81" t="inlineStr">
        <is>
          <t>瘦盒</t>
        </is>
      </c>
      <c r="D137" s="82" t="inlineStr">
        <is>
          <t>原箱</t>
        </is>
      </c>
      <c r="E137" s="81" t="inlineStr">
        <is>
          <t>售罄</t>
        </is>
      </c>
      <c r="F137" s="81" t="n">
        <v>0</v>
      </c>
      <c r="G137" s="81" t="n">
        <v>0</v>
      </c>
      <c r="H137" s="81" t="n"/>
      <c r="I137" s="81" t="n"/>
      <c r="J137" s="81" t="n"/>
      <c r="K137" s="81" t="n"/>
      <c r="L137" s="81" t="n"/>
      <c r="M137" s="80" t="inlineStr">
        <is>
          <t>/products/cs5a-slim.png</t>
        </is>
      </c>
      <c r="N137" s="81" t="n"/>
      <c r="O137" s="81" t="n"/>
      <c r="P137" s="80" t="n"/>
      <c r="Q137" s="80" t="n"/>
      <c r="R137" s="80" t="n"/>
      <c r="S137" s="81" t="n"/>
      <c r="T137" s="80" t="n"/>
    </row>
    <row r="138" collapsed="1" ht="18" customHeight="1" s="59">
      <c r="A138" s="83" t="inlineStr">
        <is>
          <t>补充包 勇魅群星 魅 肥盒 BOX（简中）</t>
        </is>
      </c>
      <c r="B138" s="83" t="inlineStr">
        <is>
          <t>剑&amp;盾 CS5a</t>
        </is>
      </c>
      <c r="C138" s="84" t="inlineStr">
        <is>
          <t>肥盒</t>
        </is>
      </c>
      <c r="D138" s="79" t="inlineStr">
        <is>
          <t>原盒</t>
        </is>
      </c>
      <c r="E138" s="84" t="inlineStr">
        <is>
          <t>售罄</t>
        </is>
      </c>
      <c r="F138" s="84" t="n">
        <v>0</v>
      </c>
      <c r="G138" s="84" t="n"/>
      <c r="H138" s="84" t="n"/>
      <c r="I138" s="84" t="n"/>
      <c r="J138" s="84" t="n"/>
      <c r="K138" s="84" t="n"/>
      <c r="L138" s="84" t="n"/>
      <c r="M138" s="83" t="inlineStr">
        <is>
          <t>/products/cs5a-slim.png</t>
        </is>
      </c>
      <c r="N138" s="84" t="n"/>
      <c r="O138" s="84" t="inlineStr">
        <is>
          <t>扩充包</t>
        </is>
      </c>
      <c r="P138" s="83" t="inlineStr">
        <is>
          <t>简中宝可梦 剑&amp;盾 勇魅群星 魅（CS5aC），2024年6月18日发售，5张/包×30包/盒。</t>
        </is>
      </c>
      <c r="Q138" s="83" t="inlineStr">
        <is>
          <t>cmqukjulz000k2odkrk2ob73t</t>
        </is>
      </c>
      <c r="R138" s="83" t="inlineStr">
        <is>
          <t>勇魅群星-魅-box-简中</t>
        </is>
      </c>
      <c r="S138" s="84" t="inlineStr">
        <is>
          <t>Pokemon</t>
        </is>
      </c>
      <c r="T138" s="83" t="inlineStr">
        <is>
          <t>https://pimart-card-production.up.railway.app/products/%E5%8B%87%E9%AD%85%E7%BE%A4%E6%98%9F-%E9%AD%85-box-%E7%AE%80%E4%B8%AD</t>
        </is>
      </c>
    </row>
    <row r="139" hidden="1" outlineLevel="1" ht="17" customHeight="1" s="59">
      <c r="A139" s="80" t="inlineStr">
        <is>
          <t>补充包 勇魅群星 魅 肥盒 BOX（简中）</t>
        </is>
      </c>
      <c r="B139" s="80" t="inlineStr">
        <is>
          <t>剑&amp;盾 CS5a</t>
        </is>
      </c>
      <c r="C139" s="81" t="inlineStr">
        <is>
          <t>肥盒</t>
        </is>
      </c>
      <c r="D139" s="82" t="inlineStr">
        <is>
          <t>散包</t>
        </is>
      </c>
      <c r="E139" s="81" t="inlineStr">
        <is>
          <t>售罄</t>
        </is>
      </c>
      <c r="F139" s="81" t="n">
        <v>0</v>
      </c>
      <c r="G139" s="81" t="n"/>
      <c r="H139" s="81" t="n">
        <v>144.88</v>
      </c>
      <c r="I139" s="81" t="inlineStr">
        <is>
          <t>简中</t>
        </is>
      </c>
      <c r="J139" s="81" t="inlineStr">
        <is>
          <t>否</t>
        </is>
      </c>
      <c r="K139" s="81" t="inlineStr">
        <is>
          <t>否</t>
        </is>
      </c>
      <c r="L139" s="81" t="n">
        <v>6</v>
      </c>
      <c r="M139" s="80" t="inlineStr">
        <is>
          <t>/products/cs5a-slim.png</t>
        </is>
      </c>
      <c r="N139" s="81" t="n"/>
      <c r="O139" s="81" t="inlineStr">
        <is>
          <t>扩充包</t>
        </is>
      </c>
      <c r="P139" s="80" t="inlineStr">
        <is>
          <t>简中宝可梦 剑&amp;盾 勇魅群星 魅（CS5aC），2024年6月18日发售，5张/包×30包/盒。</t>
        </is>
      </c>
      <c r="Q139" s="80" t="inlineStr">
        <is>
          <t>cmqukjulz000k2odkrk2ob73t</t>
        </is>
      </c>
      <c r="R139" s="80" t="inlineStr">
        <is>
          <t>勇魅群星-魅-box-简中</t>
        </is>
      </c>
      <c r="S139" s="81" t="inlineStr">
        <is>
          <t>Pokemon</t>
        </is>
      </c>
      <c r="T139" s="80" t="inlineStr">
        <is>
          <t>https://pimart-card-production.up.railway.app/products/%E5%8B%87%E9%AD%85%E7%BE%A4%E6%98%9F-%E9%AD%85-box-%E7%AE%80%E4%B8%AD</t>
        </is>
      </c>
    </row>
    <row r="140" hidden="1" outlineLevel="1" collapsed="1" ht="17" customHeight="1" s="59">
      <c r="A140" s="80" t="inlineStr">
        <is>
          <t>补充包 勇魅群星 魅 肥盒 BOX（简中）</t>
        </is>
      </c>
      <c r="B140" s="80" t="inlineStr">
        <is>
          <t>剑&amp;盾 CS5a</t>
        </is>
      </c>
      <c r="C140" s="81" t="inlineStr">
        <is>
          <t>肥盒</t>
        </is>
      </c>
      <c r="D140" s="82" t="inlineStr">
        <is>
          <t>原箱</t>
        </is>
      </c>
      <c r="E140" s="81" t="inlineStr">
        <is>
          <t>售罄</t>
        </is>
      </c>
      <c r="F140" s="81" t="n">
        <v>0</v>
      </c>
      <c r="G140" s="81" t="n"/>
      <c r="H140" s="81" t="n">
        <v>144.88</v>
      </c>
      <c r="I140" s="81" t="inlineStr">
        <is>
          <t>简中</t>
        </is>
      </c>
      <c r="J140" s="81" t="inlineStr">
        <is>
          <t>否</t>
        </is>
      </c>
      <c r="K140" s="81" t="inlineStr">
        <is>
          <t>否</t>
        </is>
      </c>
      <c r="L140" s="81" t="n">
        <v>6</v>
      </c>
      <c r="M140" s="80" t="inlineStr">
        <is>
          <t>/products/cs5a-slim.png</t>
        </is>
      </c>
      <c r="N140" s="81" t="n"/>
      <c r="O140" s="81" t="inlineStr">
        <is>
          <t>扩充包</t>
        </is>
      </c>
      <c r="P140" s="80" t="inlineStr">
        <is>
          <t>简中宝可梦 剑&amp;盾 勇魅群星 魅（CS5aC），2024年6月18日发售，5张/包×30包/盒。</t>
        </is>
      </c>
      <c r="Q140" s="80" t="inlineStr">
        <is>
          <t>cmqukjulz000k2odkrk2ob73t</t>
        </is>
      </c>
      <c r="R140" s="80" t="inlineStr">
        <is>
          <t>勇魅群星-魅-box-简中</t>
        </is>
      </c>
      <c r="S140" s="81" t="inlineStr">
        <is>
          <t>Pokemon</t>
        </is>
      </c>
      <c r="T140" s="80" t="inlineStr">
        <is>
          <t>https://pimart-card-production.up.railway.app/products/%E5%8B%87%E9%AD%85%E7%BE%A4%E6%98%9F-%E9%AD%85-box-%E7%AE%80%E4%B8%AD</t>
        </is>
      </c>
    </row>
    <row r="141" collapsed="1" ht="18" customHeight="1" s="59">
      <c r="A141" s="76" t="inlineStr">
        <is>
          <t xml:space="preserve">  第4弹</t>
        </is>
      </c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</row>
    <row r="142" ht="18" customHeight="1" s="59">
      <c r="A142" s="77" t="inlineStr">
        <is>
          <t>强化包 终末炎舞 BOX（简中）</t>
        </is>
      </c>
      <c r="B142" s="77" t="inlineStr">
        <is>
          <t>剑&amp;盾 CS4.5</t>
        </is>
      </c>
      <c r="C142" s="78" t="inlineStr">
        <is>
          <t>强化包(瘦盒)</t>
        </is>
      </c>
      <c r="D142" s="79" t="inlineStr">
        <is>
          <t>原盒</t>
        </is>
      </c>
      <c r="E142" s="78" t="inlineStr">
        <is>
          <t>售罄</t>
        </is>
      </c>
      <c r="F142" s="78" t="n">
        <v>0</v>
      </c>
      <c r="G142" s="78" t="n">
        <v>3800</v>
      </c>
      <c r="H142" s="78" t="n">
        <v>101.95</v>
      </c>
      <c r="I142" s="78" t="inlineStr">
        <is>
          <t>简中</t>
        </is>
      </c>
      <c r="J142" s="78" t="inlineStr">
        <is>
          <t>否</t>
        </is>
      </c>
      <c r="K142" s="78" t="inlineStr">
        <is>
          <t>否</t>
        </is>
      </c>
      <c r="L142" s="78" t="n">
        <v>6</v>
      </c>
      <c r="M142" s="77" t="inlineStr">
        <is>
          <t>/products/cs45-box.png</t>
        </is>
      </c>
      <c r="N142" s="78" t="n"/>
      <c r="O142" s="78" t="inlineStr">
        <is>
          <t>扩充包</t>
        </is>
      </c>
      <c r="P142" s="77" t="inlineStr">
        <is>
          <t>官网：剑&amp;盾 强化包 终末炎舞（CS4.5）。6张/包×20包/盒。配对补充包：九彩汇聚 CS4a/b。 | 简中宝可梦 剑&amp;盾 强化包 终末炎舞（CS4.5C），6张/包×20包/盒。</t>
        </is>
      </c>
      <c r="Q142" s="77" t="inlineStr">
        <is>
          <t>cmqukjulu000j2odkmoenkui3</t>
        </is>
      </c>
      <c r="R142" s="77" t="inlineStr">
        <is>
          <t>终末炎舞-box-简中</t>
        </is>
      </c>
      <c r="S142" s="78" t="inlineStr">
        <is>
          <t>Pokemon</t>
        </is>
      </c>
      <c r="T142" s="77" t="inlineStr">
        <is>
          <t>https://pimart-card-production.up.railway.app/products/%E7%BB%88%E6%9C%AB%E7%82%8E%E8%88%9E-box-%E7%AE%80%E4%B8%AD</t>
        </is>
      </c>
    </row>
    <row r="143" hidden="1" outlineLevel="1" collapsed="1" ht="17" customHeight="1" s="59">
      <c r="A143" s="80" t="inlineStr">
        <is>
          <t>强化包 终末炎舞 BOX（简中）</t>
        </is>
      </c>
      <c r="B143" s="80" t="inlineStr">
        <is>
          <t>剑&amp;盾 CS4.5</t>
        </is>
      </c>
      <c r="C143" s="81" t="inlineStr">
        <is>
          <t>强化包(瘦盒)</t>
        </is>
      </c>
      <c r="D143" s="82" t="inlineStr">
        <is>
          <t>散包</t>
        </is>
      </c>
      <c r="E143" s="81" t="inlineStr">
        <is>
          <t>售罄</t>
        </is>
      </c>
      <c r="F143" s="81" t="n"/>
      <c r="G143" s="81" t="n"/>
      <c r="H143" s="81" t="n">
        <v>101.95</v>
      </c>
      <c r="I143" s="81" t="inlineStr">
        <is>
          <t>简中</t>
        </is>
      </c>
      <c r="J143" s="81" t="inlineStr">
        <is>
          <t>否</t>
        </is>
      </c>
      <c r="K143" s="81" t="inlineStr">
        <is>
          <t>否</t>
        </is>
      </c>
      <c r="L143" s="81" t="n">
        <v>6</v>
      </c>
      <c r="M143" s="80" t="inlineStr">
        <is>
          <t>/products/cs45-box.png</t>
        </is>
      </c>
      <c r="N143" s="81" t="n"/>
      <c r="O143" s="81" t="inlineStr">
        <is>
          <t>扩充包</t>
        </is>
      </c>
      <c r="P143" s="80" t="inlineStr">
        <is>
          <t>官网：剑&amp;盾 强化包 终末炎舞（CS4.5）。6张/包×20包/盒。配对补充包：九彩汇聚 CS4a/b。 | 简中宝可梦 剑&amp;盾 强化包 终末炎舞（CS4.5C），6张/包×20包/盒。</t>
        </is>
      </c>
      <c r="Q143" s="80" t="inlineStr">
        <is>
          <t>cmqukjulu000j2odkmoenkui3</t>
        </is>
      </c>
      <c r="R143" s="80" t="inlineStr">
        <is>
          <t>终末炎舞-box-简中</t>
        </is>
      </c>
      <c r="S143" s="81" t="inlineStr">
        <is>
          <t>Pokemon</t>
        </is>
      </c>
      <c r="T143" s="80" t="inlineStr">
        <is>
          <t>https://pimart-card-production.up.railway.app/products/%E7%BB%88%E6%9C%AB%E7%82%8E%E8%88%9E-box-%E7%AE%80%E4%B8%AD</t>
        </is>
      </c>
    </row>
    <row r="144" hidden="1" outlineLevel="1" ht="17" customHeight="1" s="59">
      <c r="A144" s="80" t="inlineStr">
        <is>
          <t>强化包 终末炎舞 BOX（简中）</t>
        </is>
      </c>
      <c r="B144" s="80" t="inlineStr">
        <is>
          <t>剑&amp;盾 CS4.5</t>
        </is>
      </c>
      <c r="C144" s="81" t="inlineStr">
        <is>
          <t>强化包(瘦盒)</t>
        </is>
      </c>
      <c r="D144" s="82" t="inlineStr">
        <is>
          <t>原箱</t>
        </is>
      </c>
      <c r="E144" s="81" t="inlineStr">
        <is>
          <t>售罄</t>
        </is>
      </c>
      <c r="F144" s="81" t="n"/>
      <c r="G144" s="81" t="n"/>
      <c r="H144" s="81" t="n">
        <v>101.95</v>
      </c>
      <c r="I144" s="81" t="inlineStr">
        <is>
          <t>简中</t>
        </is>
      </c>
      <c r="J144" s="81" t="inlineStr">
        <is>
          <t>否</t>
        </is>
      </c>
      <c r="K144" s="81" t="inlineStr">
        <is>
          <t>否</t>
        </is>
      </c>
      <c r="L144" s="81" t="n">
        <v>6</v>
      </c>
      <c r="M144" s="80" t="inlineStr">
        <is>
          <t>/products/cs45-box.png</t>
        </is>
      </c>
      <c r="N144" s="81" t="n"/>
      <c r="O144" s="81" t="inlineStr">
        <is>
          <t>扩充包</t>
        </is>
      </c>
      <c r="P144" s="80" t="inlineStr">
        <is>
          <t>官网：剑&amp;盾 强化包 终末炎舞（CS4.5）。6张/包×20包/盒。配对补充包：九彩汇聚 CS4a/b。 | 简中宝可梦 剑&amp;盾 强化包 终末炎舞（CS4.5C），6张/包×20包/盒。</t>
        </is>
      </c>
      <c r="Q144" s="80" t="inlineStr">
        <is>
          <t>cmqukjulu000j2odkmoenkui3</t>
        </is>
      </c>
      <c r="R144" s="80" t="inlineStr">
        <is>
          <t>终末炎舞-box-简中</t>
        </is>
      </c>
      <c r="S144" s="81" t="inlineStr">
        <is>
          <t>Pokemon</t>
        </is>
      </c>
      <c r="T144" s="80" t="inlineStr">
        <is>
          <t>https://pimart-card-production.up.railway.app/products/%E7%BB%88%E6%9C%AB%E7%82%8E%E8%88%9E-box-%E7%AE%80%E4%B8%AD</t>
        </is>
      </c>
    </row>
    <row r="145" collapsed="1" ht="18" customHeight="1" s="59">
      <c r="A145" s="83" t="inlineStr">
        <is>
          <t>补充包 九彩汇聚 朋 瘦盒 BOX（简中）</t>
        </is>
      </c>
      <c r="B145" s="83" t="inlineStr">
        <is>
          <t>剑&amp;盾 CS4a</t>
        </is>
      </c>
      <c r="C145" s="84" t="inlineStr">
        <is>
          <t>瘦盒</t>
        </is>
      </c>
      <c r="D145" s="79" t="inlineStr">
        <is>
          <t>原盒</t>
        </is>
      </c>
      <c r="E145" s="84" t="inlineStr">
        <is>
          <t>售罄</t>
        </is>
      </c>
      <c r="F145" s="84" t="n">
        <v>0</v>
      </c>
      <c r="G145" s="84" t="n">
        <v>5400</v>
      </c>
      <c r="H145" s="84" t="n"/>
      <c r="I145" s="84" t="n"/>
      <c r="J145" s="84" t="n"/>
      <c r="K145" s="84" t="n"/>
      <c r="L145" s="84" t="n"/>
      <c r="M145" s="83" t="inlineStr">
        <is>
          <t>/products/cs4a-slim.png</t>
        </is>
      </c>
      <c r="N145" s="84" t="n"/>
      <c r="O145" s="84" t="n"/>
      <c r="P145" s="83" t="n"/>
      <c r="Q145" s="83" t="n"/>
      <c r="R145" s="83" t="n"/>
      <c r="S145" s="84" t="n"/>
      <c r="T145" s="83" t="n"/>
    </row>
    <row r="146" hidden="1" outlineLevel="1" collapsed="1" ht="17" customHeight="1" s="59">
      <c r="A146" s="80" t="inlineStr">
        <is>
          <t>补充包 九彩汇聚 朋 瘦盒 BOX（简中）</t>
        </is>
      </c>
      <c r="B146" s="80" t="inlineStr">
        <is>
          <t>剑&amp;盾 CS4a</t>
        </is>
      </c>
      <c r="C146" s="81" t="inlineStr">
        <is>
          <t>瘦盒</t>
        </is>
      </c>
      <c r="D146" s="82" t="inlineStr">
        <is>
          <t>散包</t>
        </is>
      </c>
      <c r="E146" s="81" t="inlineStr">
        <is>
          <t>售罄</t>
        </is>
      </c>
      <c r="F146" s="81" t="n">
        <v>0</v>
      </c>
      <c r="G146" s="81" t="n">
        <v>5400</v>
      </c>
      <c r="H146" s="81" t="n"/>
      <c r="I146" s="81" t="n"/>
      <c r="J146" s="81" t="n"/>
      <c r="K146" s="81" t="n"/>
      <c r="L146" s="81" t="n"/>
      <c r="M146" s="80" t="inlineStr">
        <is>
          <t>/products/cs4a-slim.png</t>
        </is>
      </c>
      <c r="N146" s="81" t="n"/>
      <c r="O146" s="81" t="n"/>
      <c r="P146" s="80" t="n"/>
      <c r="Q146" s="80" t="n"/>
      <c r="R146" s="80" t="n"/>
      <c r="S146" s="81" t="n"/>
      <c r="T146" s="80" t="n"/>
    </row>
    <row r="147" hidden="1" outlineLevel="1" ht="17" customHeight="1" s="59">
      <c r="A147" s="80" t="inlineStr">
        <is>
          <t>补充包 九彩汇聚 朋 瘦盒 BOX（简中）</t>
        </is>
      </c>
      <c r="B147" s="80" t="inlineStr">
        <is>
          <t>剑&amp;盾 CS4a</t>
        </is>
      </c>
      <c r="C147" s="81" t="inlineStr">
        <is>
          <t>瘦盒</t>
        </is>
      </c>
      <c r="D147" s="82" t="inlineStr">
        <is>
          <t>原箱</t>
        </is>
      </c>
      <c r="E147" s="81" t="inlineStr">
        <is>
          <t>售罄</t>
        </is>
      </c>
      <c r="F147" s="81" t="n">
        <v>0</v>
      </c>
      <c r="G147" s="81" t="n">
        <v>5400</v>
      </c>
      <c r="H147" s="81" t="n"/>
      <c r="I147" s="81" t="n"/>
      <c r="J147" s="81" t="n"/>
      <c r="K147" s="81" t="n"/>
      <c r="L147" s="81" t="n"/>
      <c r="M147" s="80" t="inlineStr">
        <is>
          <t>/products/cs4a-slim.png</t>
        </is>
      </c>
      <c r="N147" s="81" t="n"/>
      <c r="O147" s="81" t="n"/>
      <c r="P147" s="80" t="n"/>
      <c r="Q147" s="80" t="n"/>
      <c r="R147" s="80" t="n"/>
      <c r="S147" s="81" t="n"/>
      <c r="T147" s="80" t="n"/>
    </row>
    <row r="148" collapsed="1" ht="18" customHeight="1" s="59">
      <c r="A148" s="77" t="inlineStr">
        <is>
          <t>补充包 九彩汇聚 朋 肥盒 BOX（简中）</t>
        </is>
      </c>
      <c r="B148" s="77" t="inlineStr">
        <is>
          <t>剑&amp;盾 CS4a</t>
        </is>
      </c>
      <c r="C148" s="78" t="inlineStr">
        <is>
          <t>肥盒</t>
        </is>
      </c>
      <c r="D148" s="79" t="inlineStr">
        <is>
          <t>原盒</t>
        </is>
      </c>
      <c r="E148" s="78" t="inlineStr">
        <is>
          <t>售罄</t>
        </is>
      </c>
      <c r="F148" s="78" t="n">
        <v>0</v>
      </c>
      <c r="G148" s="78" t="n">
        <v>5200</v>
      </c>
      <c r="H148" s="78" t="n">
        <v>139.51</v>
      </c>
      <c r="I148" s="78" t="inlineStr">
        <is>
          <t>简中</t>
        </is>
      </c>
      <c r="J148" s="78" t="inlineStr">
        <is>
          <t>否</t>
        </is>
      </c>
      <c r="K148" s="78" t="inlineStr">
        <is>
          <t>否</t>
        </is>
      </c>
      <c r="L148" s="78" t="n">
        <v>6</v>
      </c>
      <c r="M148" s="77" t="inlineStr">
        <is>
          <t>/products/cs4a-slim.png</t>
        </is>
      </c>
      <c r="N148" s="78" t="n"/>
      <c r="O148" s="78" t="inlineStr">
        <is>
          <t>扩充包</t>
        </is>
      </c>
      <c r="P148" s="77" t="inlineStr">
        <is>
          <t>简中宝可梦 剑&amp;盾 九彩汇聚 朋（CS4aC），2024年3月1日发售，5张/包×30包/盒。</t>
        </is>
      </c>
      <c r="Q148" s="77" t="inlineStr">
        <is>
          <t>cmqukjulk000h2odkil74wbyb</t>
        </is>
      </c>
      <c r="R148" s="77" t="inlineStr">
        <is>
          <t>九彩汇聚-朋-box-简中</t>
        </is>
      </c>
      <c r="S148" s="78" t="inlineStr">
        <is>
          <t>Pokemon</t>
        </is>
      </c>
      <c r="T148" s="77" t="inlineStr">
        <is>
          <t>https://pimart-card-production.up.railway.app/products/%E4%B9%9D%E5%BD%A9%E6%B1%87%E8%81%9A-%E6%9C%8B-box-%E7%AE%80%E4%B8%AD</t>
        </is>
      </c>
    </row>
    <row r="149" hidden="1" outlineLevel="1" ht="17" customHeight="1" s="59">
      <c r="A149" s="80" t="inlineStr">
        <is>
          <t>补充包 九彩汇聚 朋 肥盒 BOX（简中）</t>
        </is>
      </c>
      <c r="B149" s="80" t="inlineStr">
        <is>
          <t>剑&amp;盾 CS4a</t>
        </is>
      </c>
      <c r="C149" s="81" t="inlineStr">
        <is>
          <t>肥盒</t>
        </is>
      </c>
      <c r="D149" s="82" t="inlineStr">
        <is>
          <t>散包</t>
        </is>
      </c>
      <c r="E149" s="81" t="inlineStr">
        <is>
          <t>售罄</t>
        </is>
      </c>
      <c r="F149" s="81" t="n"/>
      <c r="G149" s="81" t="n"/>
      <c r="H149" s="81" t="n">
        <v>139.51</v>
      </c>
      <c r="I149" s="81" t="inlineStr">
        <is>
          <t>简中</t>
        </is>
      </c>
      <c r="J149" s="81" t="inlineStr">
        <is>
          <t>否</t>
        </is>
      </c>
      <c r="K149" s="81" t="inlineStr">
        <is>
          <t>否</t>
        </is>
      </c>
      <c r="L149" s="81" t="n">
        <v>6</v>
      </c>
      <c r="M149" s="80" t="inlineStr">
        <is>
          <t>/products/cs4a-slim.png</t>
        </is>
      </c>
      <c r="N149" s="81" t="n"/>
      <c r="O149" s="81" t="inlineStr">
        <is>
          <t>扩充包</t>
        </is>
      </c>
      <c r="P149" s="80" t="inlineStr">
        <is>
          <t>简中宝可梦 剑&amp;盾 九彩汇聚 朋（CS4aC），2024年3月1日发售，5张/包×30包/盒。</t>
        </is>
      </c>
      <c r="Q149" s="80" t="inlineStr">
        <is>
          <t>cmqukjulk000h2odkil74wbyb</t>
        </is>
      </c>
      <c r="R149" s="80" t="inlineStr">
        <is>
          <t>九彩汇聚-朋-box-简中</t>
        </is>
      </c>
      <c r="S149" s="81" t="inlineStr">
        <is>
          <t>Pokemon</t>
        </is>
      </c>
      <c r="T149" s="80" t="inlineStr">
        <is>
          <t>https://pimart-card-production.up.railway.app/products/%E4%B9%9D%E5%BD%A9%E6%B1%87%E8%81%9A-%E6%9C%8B-box-%E7%AE%80%E4%B8%AD</t>
        </is>
      </c>
    </row>
    <row r="150" hidden="1" outlineLevel="1" collapsed="1" ht="17" customHeight="1" s="59">
      <c r="A150" s="80" t="inlineStr">
        <is>
          <t>补充包 九彩汇聚 朋 肥盒 BOX（简中）</t>
        </is>
      </c>
      <c r="B150" s="80" t="inlineStr">
        <is>
          <t>剑&amp;盾 CS4a</t>
        </is>
      </c>
      <c r="C150" s="81" t="inlineStr">
        <is>
          <t>肥盒</t>
        </is>
      </c>
      <c r="D150" s="82" t="inlineStr">
        <is>
          <t>原箱</t>
        </is>
      </c>
      <c r="E150" s="81" t="inlineStr">
        <is>
          <t>售罄</t>
        </is>
      </c>
      <c r="F150" s="81" t="n"/>
      <c r="G150" s="81" t="n"/>
      <c r="H150" s="81" t="n">
        <v>139.51</v>
      </c>
      <c r="I150" s="81" t="inlineStr">
        <is>
          <t>简中</t>
        </is>
      </c>
      <c r="J150" s="81" t="inlineStr">
        <is>
          <t>否</t>
        </is>
      </c>
      <c r="K150" s="81" t="inlineStr">
        <is>
          <t>否</t>
        </is>
      </c>
      <c r="L150" s="81" t="n">
        <v>6</v>
      </c>
      <c r="M150" s="80" t="inlineStr">
        <is>
          <t>/products/cs4a-slim.png</t>
        </is>
      </c>
      <c r="N150" s="81" t="n"/>
      <c r="O150" s="81" t="inlineStr">
        <is>
          <t>扩充包</t>
        </is>
      </c>
      <c r="P150" s="80" t="inlineStr">
        <is>
          <t>简中宝可梦 剑&amp;盾 九彩汇聚 朋（CS4aC），2024年3月1日发售，5张/包×30包/盒。</t>
        </is>
      </c>
      <c r="Q150" s="80" t="inlineStr">
        <is>
          <t>cmqukjulk000h2odkil74wbyb</t>
        </is>
      </c>
      <c r="R150" s="80" t="inlineStr">
        <is>
          <t>九彩汇聚-朋-box-简中</t>
        </is>
      </c>
      <c r="S150" s="81" t="inlineStr">
        <is>
          <t>Pokemon</t>
        </is>
      </c>
      <c r="T150" s="80" t="inlineStr">
        <is>
          <t>https://pimart-card-production.up.railway.app/products/%E4%B9%9D%E5%BD%A9%E6%B1%87%E8%81%9A-%E6%9C%8B-box-%E7%AE%80%E4%B8%AD</t>
        </is>
      </c>
    </row>
    <row r="151" collapsed="1" ht="18" customHeight="1" s="59">
      <c r="A151" s="83" t="inlineStr">
        <is>
          <t>补充包 九彩汇聚 源 瘦盒 BOX（简中）</t>
        </is>
      </c>
      <c r="B151" s="83" t="inlineStr">
        <is>
          <t>剑&amp;盾 CS4b</t>
        </is>
      </c>
      <c r="C151" s="84" t="inlineStr">
        <is>
          <t>瘦盒</t>
        </is>
      </c>
      <c r="D151" s="79" t="inlineStr">
        <is>
          <t>原盒</t>
        </is>
      </c>
      <c r="E151" s="84" t="inlineStr">
        <is>
          <t>售罄</t>
        </is>
      </c>
      <c r="F151" s="84" t="n">
        <v>0</v>
      </c>
      <c r="G151" s="84" t="n">
        <v>3800</v>
      </c>
      <c r="H151" s="84" t="n"/>
      <c r="I151" s="84" t="n"/>
      <c r="J151" s="84" t="n"/>
      <c r="K151" s="84" t="n"/>
      <c r="L151" s="84" t="n"/>
      <c r="M151" s="83" t="inlineStr">
        <is>
          <t>/products/cs4b-slim.png</t>
        </is>
      </c>
      <c r="N151" s="84" t="n"/>
      <c r="O151" s="84" t="n"/>
      <c r="P151" s="83" t="n"/>
      <c r="Q151" s="83" t="n"/>
      <c r="R151" s="83" t="n"/>
      <c r="S151" s="84" t="n"/>
      <c r="T151" s="83" t="n"/>
    </row>
    <row r="152" hidden="1" outlineLevel="1" ht="17" customHeight="1" s="59">
      <c r="A152" s="80" t="inlineStr">
        <is>
          <t>补充包 九彩汇聚 源 瘦盒 BOX（简中）</t>
        </is>
      </c>
      <c r="B152" s="80" t="inlineStr">
        <is>
          <t>剑&amp;盾 CS4b</t>
        </is>
      </c>
      <c r="C152" s="81" t="inlineStr">
        <is>
          <t>瘦盒</t>
        </is>
      </c>
      <c r="D152" s="82" t="inlineStr">
        <is>
          <t>散包</t>
        </is>
      </c>
      <c r="E152" s="81" t="inlineStr">
        <is>
          <t>售罄</t>
        </is>
      </c>
      <c r="F152" s="81" t="n">
        <v>0</v>
      </c>
      <c r="G152" s="81" t="n">
        <v>3800</v>
      </c>
      <c r="H152" s="81" t="n"/>
      <c r="I152" s="81" t="n"/>
      <c r="J152" s="81" t="n"/>
      <c r="K152" s="81" t="n"/>
      <c r="L152" s="81" t="n"/>
      <c r="M152" s="80" t="inlineStr">
        <is>
          <t>/products/cs4b-slim.png</t>
        </is>
      </c>
      <c r="N152" s="81" t="n"/>
      <c r="O152" s="81" t="n"/>
      <c r="P152" s="80" t="n"/>
      <c r="Q152" s="80" t="n"/>
      <c r="R152" s="80" t="n"/>
      <c r="S152" s="81" t="n"/>
      <c r="T152" s="80" t="n"/>
    </row>
    <row r="153" hidden="1" outlineLevel="1" collapsed="1" ht="17" customHeight="1" s="59">
      <c r="A153" s="80" t="inlineStr">
        <is>
          <t>补充包 九彩汇聚 源 瘦盒 BOX（简中）</t>
        </is>
      </c>
      <c r="B153" s="80" t="inlineStr">
        <is>
          <t>剑&amp;盾 CS4b</t>
        </is>
      </c>
      <c r="C153" s="81" t="inlineStr">
        <is>
          <t>瘦盒</t>
        </is>
      </c>
      <c r="D153" s="82" t="inlineStr">
        <is>
          <t>原箱</t>
        </is>
      </c>
      <c r="E153" s="81" t="inlineStr">
        <is>
          <t>售罄</t>
        </is>
      </c>
      <c r="F153" s="81" t="n">
        <v>0</v>
      </c>
      <c r="G153" s="81" t="n">
        <v>3800</v>
      </c>
      <c r="H153" s="81" t="n"/>
      <c r="I153" s="81" t="n"/>
      <c r="J153" s="81" t="n"/>
      <c r="K153" s="81" t="n"/>
      <c r="L153" s="81" t="n"/>
      <c r="M153" s="80" t="inlineStr">
        <is>
          <t>/products/cs4b-slim.png</t>
        </is>
      </c>
      <c r="N153" s="81" t="n"/>
      <c r="O153" s="81" t="n"/>
      <c r="P153" s="80" t="n"/>
      <c r="Q153" s="80" t="n"/>
      <c r="R153" s="80" t="n"/>
      <c r="S153" s="81" t="n"/>
      <c r="T153" s="80" t="n"/>
    </row>
    <row r="154" collapsed="1" ht="18" customHeight="1" s="59">
      <c r="A154" s="77" t="inlineStr">
        <is>
          <t>补充包 九彩汇聚 源 肥盒 BOX（简中）</t>
        </is>
      </c>
      <c r="B154" s="77" t="inlineStr">
        <is>
          <t>剑&amp;盾 CS4b</t>
        </is>
      </c>
      <c r="C154" s="78" t="inlineStr">
        <is>
          <t>肥盒</t>
        </is>
      </c>
      <c r="D154" s="79" t="inlineStr">
        <is>
          <t>原盒</t>
        </is>
      </c>
      <c r="E154" s="78" t="inlineStr">
        <is>
          <t>售罄</t>
        </is>
      </c>
      <c r="F154" s="78" t="n">
        <v>0</v>
      </c>
      <c r="G154" s="78" t="n"/>
      <c r="H154" s="78" t="n"/>
      <c r="I154" s="78" t="n"/>
      <c r="J154" s="78" t="n"/>
      <c r="K154" s="78" t="n"/>
      <c r="L154" s="78" t="n"/>
      <c r="M154" s="77" t="inlineStr">
        <is>
          <t>/products/cs4b-slim.png</t>
        </is>
      </c>
      <c r="N154" s="78" t="n"/>
      <c r="O154" s="78" t="inlineStr">
        <is>
          <t>扩充包</t>
        </is>
      </c>
      <c r="P154" s="77" t="inlineStr">
        <is>
          <t>简中宝可梦 剑&amp;盾 九彩汇聚 源（CS4bC），2024年3月1日发售，5张/包×30包/盒。</t>
        </is>
      </c>
      <c r="Q154" s="77" t="inlineStr">
        <is>
          <t>cmqukjulp000i2odkoxjf423y</t>
        </is>
      </c>
      <c r="R154" s="77" t="inlineStr">
        <is>
          <t>九彩汇聚-源-box-简中</t>
        </is>
      </c>
      <c r="S154" s="78" t="inlineStr">
        <is>
          <t>Pokemon</t>
        </is>
      </c>
      <c r="T154" s="77" t="inlineStr">
        <is>
          <t>https://pimart-card-production.up.railway.app/products/%E4%B9%9D%E5%BD%A9%E6%B1%87%E8%81%9A-%E6%BA%90-box-%E7%AE%80%E4%B8%AD</t>
        </is>
      </c>
    </row>
    <row r="155" hidden="1" outlineLevel="1" ht="17" customHeight="1" s="59">
      <c r="A155" s="80" t="inlineStr">
        <is>
          <t>补充包 九彩汇聚 源 肥盒 BOX（简中）</t>
        </is>
      </c>
      <c r="B155" s="80" t="inlineStr">
        <is>
          <t>剑&amp;盾 CS4b</t>
        </is>
      </c>
      <c r="C155" s="81" t="inlineStr">
        <is>
          <t>肥盒</t>
        </is>
      </c>
      <c r="D155" s="82" t="inlineStr">
        <is>
          <t>散包</t>
        </is>
      </c>
      <c r="E155" s="81" t="inlineStr">
        <is>
          <t>售罄</t>
        </is>
      </c>
      <c r="F155" s="81" t="n">
        <v>0</v>
      </c>
      <c r="G155" s="81" t="n"/>
      <c r="H155" s="81" t="n">
        <v>139.51</v>
      </c>
      <c r="I155" s="81" t="inlineStr">
        <is>
          <t>简中</t>
        </is>
      </c>
      <c r="J155" s="81" t="inlineStr">
        <is>
          <t>否</t>
        </is>
      </c>
      <c r="K155" s="81" t="inlineStr">
        <is>
          <t>否</t>
        </is>
      </c>
      <c r="L155" s="81" t="n">
        <v>6</v>
      </c>
      <c r="M155" s="80" t="inlineStr">
        <is>
          <t>/products/cs4b-slim.png</t>
        </is>
      </c>
      <c r="N155" s="81" t="n"/>
      <c r="O155" s="81" t="inlineStr">
        <is>
          <t>扩充包</t>
        </is>
      </c>
      <c r="P155" s="80" t="inlineStr">
        <is>
          <t>简中宝可梦 剑&amp;盾 九彩汇聚 源（CS4bC），2024年3月1日发售，5张/包×30包/盒。</t>
        </is>
      </c>
      <c r="Q155" s="80" t="inlineStr">
        <is>
          <t>cmqukjulp000i2odkoxjf423y</t>
        </is>
      </c>
      <c r="R155" s="80" t="inlineStr">
        <is>
          <t>九彩汇聚-源-box-简中</t>
        </is>
      </c>
      <c r="S155" s="81" t="inlineStr">
        <is>
          <t>Pokemon</t>
        </is>
      </c>
      <c r="T155" s="80" t="inlineStr">
        <is>
          <t>https://pimart-card-production.up.railway.app/products/%E4%B9%9D%E5%BD%A9%E6%B1%87%E8%81%9A-%E6%BA%90-box-%E7%AE%80%E4%B8%AD</t>
        </is>
      </c>
    </row>
    <row r="156" hidden="1" outlineLevel="1" collapsed="1" ht="17" customHeight="1" s="59">
      <c r="A156" s="80" t="inlineStr">
        <is>
          <t>补充包 九彩汇聚 源 肥盒 BOX（简中）</t>
        </is>
      </c>
      <c r="B156" s="80" t="inlineStr">
        <is>
          <t>剑&amp;盾 CS4b</t>
        </is>
      </c>
      <c r="C156" s="81" t="inlineStr">
        <is>
          <t>肥盒</t>
        </is>
      </c>
      <c r="D156" s="82" t="inlineStr">
        <is>
          <t>原箱</t>
        </is>
      </c>
      <c r="E156" s="81" t="inlineStr">
        <is>
          <t>售罄</t>
        </is>
      </c>
      <c r="F156" s="81" t="n">
        <v>0</v>
      </c>
      <c r="G156" s="81" t="n"/>
      <c r="H156" s="81" t="n">
        <v>139.51</v>
      </c>
      <c r="I156" s="81" t="inlineStr">
        <is>
          <t>简中</t>
        </is>
      </c>
      <c r="J156" s="81" t="inlineStr">
        <is>
          <t>否</t>
        </is>
      </c>
      <c r="K156" s="81" t="inlineStr">
        <is>
          <t>否</t>
        </is>
      </c>
      <c r="L156" s="81" t="n">
        <v>6</v>
      </c>
      <c r="M156" s="80" t="inlineStr">
        <is>
          <t>/products/cs4b-slim.png</t>
        </is>
      </c>
      <c r="N156" s="81" t="n"/>
      <c r="O156" s="81" t="inlineStr">
        <is>
          <t>扩充包</t>
        </is>
      </c>
      <c r="P156" s="80" t="inlineStr">
        <is>
          <t>简中宝可梦 剑&amp;盾 九彩汇聚 源（CS4bC），2024年3月1日发售，5张/包×30包/盒。</t>
        </is>
      </c>
      <c r="Q156" s="80" t="inlineStr">
        <is>
          <t>cmqukjulp000i2odkoxjf423y</t>
        </is>
      </c>
      <c r="R156" s="80" t="inlineStr">
        <is>
          <t>九彩汇聚-源-box-简中</t>
        </is>
      </c>
      <c r="S156" s="81" t="inlineStr">
        <is>
          <t>Pokemon</t>
        </is>
      </c>
      <c r="T156" s="80" t="inlineStr">
        <is>
          <t>https://pimart-card-production.up.railway.app/products/%E4%B9%9D%E5%BD%A9%E6%B1%87%E8%81%9A-%E6%BA%90-box-%E7%AE%80%E4%B8%AD</t>
        </is>
      </c>
    </row>
    <row r="157" collapsed="1" ht="18" customHeight="1" s="59">
      <c r="A157" s="76" t="inlineStr">
        <is>
          <t xml:space="preserve">  第3弹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</row>
    <row r="158" ht="18" customHeight="1" s="59">
      <c r="A158" s="83" t="inlineStr">
        <is>
          <t>强化包 怒炎灼天 BOX（简中）</t>
        </is>
      </c>
      <c r="B158" s="83" t="inlineStr">
        <is>
          <t>剑&amp;盾 CS3.5</t>
        </is>
      </c>
      <c r="C158" s="84" t="inlineStr">
        <is>
          <t>强化包(瘦盒)</t>
        </is>
      </c>
      <c r="D158" s="79" t="inlineStr">
        <is>
          <t>原盒</t>
        </is>
      </c>
      <c r="E158" s="84" t="inlineStr">
        <is>
          <t>售罄</t>
        </is>
      </c>
      <c r="F158" s="84" t="n">
        <v>0</v>
      </c>
      <c r="G158" s="84" t="n">
        <v>3800</v>
      </c>
      <c r="H158" s="84" t="n">
        <v>101.95</v>
      </c>
      <c r="I158" s="84" t="inlineStr">
        <is>
          <t>简中</t>
        </is>
      </c>
      <c r="J158" s="84" t="inlineStr">
        <is>
          <t>否</t>
        </is>
      </c>
      <c r="K158" s="84" t="inlineStr">
        <is>
          <t>否</t>
        </is>
      </c>
      <c r="L158" s="84" t="n">
        <v>6</v>
      </c>
      <c r="M158" s="83" t="inlineStr">
        <is>
          <t>/products/cs35-box.png</t>
        </is>
      </c>
      <c r="N158" s="84" t="n"/>
      <c r="O158" s="84" t="inlineStr">
        <is>
          <t>扩充包</t>
        </is>
      </c>
      <c r="P158" s="83" t="inlineStr">
        <is>
          <t>官网：剑&amp;盾 强化包 怒炎灼天（CS3.5），2024-01-05发售。6张/包×20包/盒。配对补充包：洪荒演武 CS3a/b。 | 简中宝可梦 剑&amp;盾 强化包 怒炎灼天（CS3.5C），6张/包×20包/盒。</t>
        </is>
      </c>
      <c r="Q158" s="83" t="inlineStr">
        <is>
          <t>cmqukjulf000g2odk4nxb7vbu</t>
        </is>
      </c>
      <c r="R158" s="83" t="inlineStr">
        <is>
          <t>怒炎灼天-box-简中</t>
        </is>
      </c>
      <c r="S158" s="84" t="inlineStr">
        <is>
          <t>Pokemon</t>
        </is>
      </c>
      <c r="T158" s="83" t="inlineStr">
        <is>
          <t>https://pimart-card-production.up.railway.app/products/%E6%80%92%E7%82%8E%E7%81%BC%E5%A4%A9-box-%E7%AE%80%E4%B8%AD</t>
        </is>
      </c>
    </row>
    <row r="159" hidden="1" outlineLevel="1" ht="17" customHeight="1" s="59">
      <c r="A159" s="80" t="inlineStr">
        <is>
          <t>强化包 怒炎灼天 BOX（简中）</t>
        </is>
      </c>
      <c r="B159" s="80" t="inlineStr">
        <is>
          <t>剑&amp;盾 CS3.5</t>
        </is>
      </c>
      <c r="C159" s="81" t="inlineStr">
        <is>
          <t>强化包(瘦盒)</t>
        </is>
      </c>
      <c r="D159" s="82" t="inlineStr">
        <is>
          <t>散包</t>
        </is>
      </c>
      <c r="E159" s="81" t="inlineStr">
        <is>
          <t>售罄</t>
        </is>
      </c>
      <c r="F159" s="81" t="n"/>
      <c r="G159" s="81" t="n"/>
      <c r="H159" s="81" t="n">
        <v>101.95</v>
      </c>
      <c r="I159" s="81" t="inlineStr">
        <is>
          <t>简中</t>
        </is>
      </c>
      <c r="J159" s="81" t="inlineStr">
        <is>
          <t>否</t>
        </is>
      </c>
      <c r="K159" s="81" t="inlineStr">
        <is>
          <t>否</t>
        </is>
      </c>
      <c r="L159" s="81" t="n">
        <v>6</v>
      </c>
      <c r="M159" s="80" t="inlineStr">
        <is>
          <t>/products/cs35-box.png</t>
        </is>
      </c>
      <c r="N159" s="81" t="n"/>
      <c r="O159" s="81" t="inlineStr">
        <is>
          <t>扩充包</t>
        </is>
      </c>
      <c r="P159" s="80" t="inlineStr">
        <is>
          <t>官网：剑&amp;盾 强化包 怒炎灼天（CS3.5），2024-01-05发售。6张/包×20包/盒。配对补充包：洪荒演武 CS3a/b。 | 简中宝可梦 剑&amp;盾 强化包 怒炎灼天（CS3.5C），6张/包×20包/盒。</t>
        </is>
      </c>
      <c r="Q159" s="80" t="inlineStr">
        <is>
          <t>cmqukjulf000g2odk4nxb7vbu</t>
        </is>
      </c>
      <c r="R159" s="80" t="inlineStr">
        <is>
          <t>怒炎灼天-box-简中</t>
        </is>
      </c>
      <c r="S159" s="81" t="inlineStr">
        <is>
          <t>Pokemon</t>
        </is>
      </c>
      <c r="T159" s="80" t="inlineStr">
        <is>
          <t>https://pimart-card-production.up.railway.app/products/%E6%80%92%E7%82%8E%E7%81%BC%E5%A4%A9-box-%E7%AE%80%E4%B8%AD</t>
        </is>
      </c>
    </row>
    <row r="160" hidden="1" outlineLevel="1" ht="17" customHeight="1" s="59">
      <c r="A160" s="80" t="inlineStr">
        <is>
          <t>强化包 怒炎灼天 BOX（简中）</t>
        </is>
      </c>
      <c r="B160" s="80" t="inlineStr">
        <is>
          <t>剑&amp;盾 CS3.5</t>
        </is>
      </c>
      <c r="C160" s="81" t="inlineStr">
        <is>
          <t>强化包(瘦盒)</t>
        </is>
      </c>
      <c r="D160" s="82" t="inlineStr">
        <is>
          <t>原箱</t>
        </is>
      </c>
      <c r="E160" s="81" t="inlineStr">
        <is>
          <t>售罄</t>
        </is>
      </c>
      <c r="F160" s="81" t="n"/>
      <c r="G160" s="81" t="n"/>
      <c r="H160" s="81" t="n">
        <v>101.95</v>
      </c>
      <c r="I160" s="81" t="inlineStr">
        <is>
          <t>简中</t>
        </is>
      </c>
      <c r="J160" s="81" t="inlineStr">
        <is>
          <t>否</t>
        </is>
      </c>
      <c r="K160" s="81" t="inlineStr">
        <is>
          <t>否</t>
        </is>
      </c>
      <c r="L160" s="81" t="n">
        <v>6</v>
      </c>
      <c r="M160" s="80" t="inlineStr">
        <is>
          <t>/products/cs35-box.png</t>
        </is>
      </c>
      <c r="N160" s="81" t="n"/>
      <c r="O160" s="81" t="inlineStr">
        <is>
          <t>扩充包</t>
        </is>
      </c>
      <c r="P160" s="80" t="inlineStr">
        <is>
          <t>官网：剑&amp;盾 强化包 怒炎灼天（CS3.5），2024-01-05发售。6张/包×20包/盒。配对补充包：洪荒演武 CS3a/b。 | 简中宝可梦 剑&amp;盾 强化包 怒炎灼天（CS3.5C），6张/包×20包/盒。</t>
        </is>
      </c>
      <c r="Q160" s="80" t="inlineStr">
        <is>
          <t>cmqukjulf000g2odk4nxb7vbu</t>
        </is>
      </c>
      <c r="R160" s="80" t="inlineStr">
        <is>
          <t>怒炎灼天-box-简中</t>
        </is>
      </c>
      <c r="S160" s="81" t="inlineStr">
        <is>
          <t>Pokemon</t>
        </is>
      </c>
      <c r="T160" s="80" t="inlineStr">
        <is>
          <t>https://pimart-card-production.up.railway.app/products/%E6%80%92%E7%82%8E%E7%81%BC%E5%A4%A9-box-%E7%AE%80%E4%B8%AD</t>
        </is>
      </c>
    </row>
    <row r="161" collapsed="1" ht="18" customHeight="1" s="59">
      <c r="A161" s="77" t="inlineStr">
        <is>
          <t>补充包 洪荒演武 激 瘦盒 BOX（简中）</t>
        </is>
      </c>
      <c r="B161" s="77" t="inlineStr">
        <is>
          <t>剑&amp;盾 CS3b</t>
        </is>
      </c>
      <c r="C161" s="78" t="inlineStr">
        <is>
          <t>瘦盒</t>
        </is>
      </c>
      <c r="D161" s="79" t="inlineStr">
        <is>
          <t>原盒</t>
        </is>
      </c>
      <c r="E161" s="78" t="inlineStr">
        <is>
          <t>售罄</t>
        </is>
      </c>
      <c r="F161" s="78" t="n">
        <v>0</v>
      </c>
      <c r="G161" s="78" t="n">
        <v>5200</v>
      </c>
      <c r="H161" s="78" t="n"/>
      <c r="I161" s="78" t="n"/>
      <c r="J161" s="78" t="n"/>
      <c r="K161" s="78" t="n"/>
      <c r="L161" s="78" t="n"/>
      <c r="M161" s="77" t="inlineStr">
        <is>
          <t>/products/cs3b-slim.png</t>
        </is>
      </c>
      <c r="N161" s="78" t="n"/>
      <c r="O161" s="78" t="n"/>
      <c r="P161" s="77" t="n"/>
      <c r="Q161" s="77" t="n"/>
      <c r="R161" s="77" t="n"/>
      <c r="S161" s="78" t="n"/>
      <c r="T161" s="77" t="n"/>
    </row>
    <row r="162" hidden="1" outlineLevel="1" collapsed="1" ht="17" customHeight="1" s="59">
      <c r="A162" s="80" t="inlineStr">
        <is>
          <t>补充包 洪荒演武 激 瘦盒 BOX（简中）</t>
        </is>
      </c>
      <c r="B162" s="80" t="inlineStr">
        <is>
          <t>剑&amp;盾 CS3b</t>
        </is>
      </c>
      <c r="C162" s="81" t="inlineStr">
        <is>
          <t>瘦盒</t>
        </is>
      </c>
      <c r="D162" s="82" t="inlineStr">
        <is>
          <t>散包</t>
        </is>
      </c>
      <c r="E162" s="81" t="inlineStr">
        <is>
          <t>售罄</t>
        </is>
      </c>
      <c r="F162" s="81" t="n">
        <v>0</v>
      </c>
      <c r="G162" s="81" t="n">
        <v>5200</v>
      </c>
      <c r="H162" s="81" t="n"/>
      <c r="I162" s="81" t="n"/>
      <c r="J162" s="81" t="n"/>
      <c r="K162" s="81" t="n"/>
      <c r="L162" s="81" t="n"/>
      <c r="M162" s="80" t="inlineStr">
        <is>
          <t>/products/cs3b-slim.png</t>
        </is>
      </c>
      <c r="N162" s="81" t="n"/>
      <c r="O162" s="81" t="n"/>
      <c r="P162" s="80" t="n"/>
      <c r="Q162" s="80" t="n"/>
      <c r="R162" s="80" t="n"/>
      <c r="S162" s="81" t="n"/>
      <c r="T162" s="80" t="n"/>
    </row>
    <row r="163" hidden="1" outlineLevel="1" ht="17" customHeight="1" s="59">
      <c r="A163" s="80" t="inlineStr">
        <is>
          <t>补充包 洪荒演武 激 瘦盒 BOX（简中）</t>
        </is>
      </c>
      <c r="B163" s="80" t="inlineStr">
        <is>
          <t>剑&amp;盾 CS3b</t>
        </is>
      </c>
      <c r="C163" s="81" t="inlineStr">
        <is>
          <t>瘦盒</t>
        </is>
      </c>
      <c r="D163" s="82" t="inlineStr">
        <is>
          <t>原箱</t>
        </is>
      </c>
      <c r="E163" s="81" t="inlineStr">
        <is>
          <t>售罄</t>
        </is>
      </c>
      <c r="F163" s="81" t="n">
        <v>0</v>
      </c>
      <c r="G163" s="81" t="n">
        <v>5200</v>
      </c>
      <c r="H163" s="81" t="n"/>
      <c r="I163" s="81" t="n"/>
      <c r="J163" s="81" t="n"/>
      <c r="K163" s="81" t="n"/>
      <c r="L163" s="81" t="n"/>
      <c r="M163" s="80" t="inlineStr">
        <is>
          <t>/products/cs3b-slim.png</t>
        </is>
      </c>
      <c r="N163" s="81" t="n"/>
      <c r="O163" s="81" t="n"/>
      <c r="P163" s="80" t="n"/>
      <c r="Q163" s="80" t="n"/>
      <c r="R163" s="80" t="n"/>
      <c r="S163" s="81" t="n"/>
      <c r="T163" s="80" t="n"/>
    </row>
    <row r="164" collapsed="1" ht="18" customHeight="1" s="59">
      <c r="A164" s="83" t="inlineStr">
        <is>
          <t>补充包 洪荒演武 激 肥盒 BOX（简中）</t>
        </is>
      </c>
      <c r="B164" s="83" t="inlineStr">
        <is>
          <t>剑&amp;盾 CS3b</t>
        </is>
      </c>
      <c r="C164" s="84" t="inlineStr">
        <is>
          <t>肥盒</t>
        </is>
      </c>
      <c r="D164" s="79" t="inlineStr">
        <is>
          <t>原盒</t>
        </is>
      </c>
      <c r="E164" s="84" t="inlineStr">
        <is>
          <t>售罄</t>
        </is>
      </c>
      <c r="F164" s="84" t="n">
        <v>0</v>
      </c>
      <c r="G164" s="84" t="n">
        <v>5000</v>
      </c>
      <c r="H164" s="84" t="n">
        <v>134.15</v>
      </c>
      <c r="I164" s="84" t="inlineStr">
        <is>
          <t>简中</t>
        </is>
      </c>
      <c r="J164" s="84" t="inlineStr">
        <is>
          <t>否</t>
        </is>
      </c>
      <c r="K164" s="84" t="inlineStr">
        <is>
          <t>否</t>
        </is>
      </c>
      <c r="L164" s="84" t="n">
        <v>6</v>
      </c>
      <c r="M164" s="83" t="inlineStr">
        <is>
          <t>/products/cs3b-slim.png</t>
        </is>
      </c>
      <c r="N164" s="84" t="n"/>
      <c r="O164" s="84" t="inlineStr">
        <is>
          <t>扩充包</t>
        </is>
      </c>
      <c r="P164" s="83" t="inlineStr">
        <is>
          <t>简中宝可梦 剑&amp;盾 洪荒演武 激（CS3bC），2023年11月17日发售，5张/包×30包/盒。</t>
        </is>
      </c>
      <c r="Q164" s="83" t="inlineStr">
        <is>
          <t>cmqukjulb000f2odk4m7zdkf0</t>
        </is>
      </c>
      <c r="R164" s="83" t="inlineStr">
        <is>
          <t>洪荒演武-激-box-简中</t>
        </is>
      </c>
      <c r="S164" s="84" t="inlineStr">
        <is>
          <t>Pokemon</t>
        </is>
      </c>
      <c r="T164" s="83" t="inlineStr">
        <is>
          <t>https://pimart-card-production.up.railway.app/products/%E6%B4%AA%E8%8D%92%E6%BC%94%E6%AD%A6-%E6%BF%80-box-%E7%AE%80%E4%B8%AD</t>
        </is>
      </c>
    </row>
    <row r="165" hidden="1" outlineLevel="1" collapsed="1" ht="17" customHeight="1" s="59">
      <c r="A165" s="80" t="inlineStr">
        <is>
          <t>补充包 洪荒演武 激 肥盒 BOX（简中）</t>
        </is>
      </c>
      <c r="B165" s="80" t="inlineStr">
        <is>
          <t>剑&amp;盾 CS3b</t>
        </is>
      </c>
      <c r="C165" s="81" t="inlineStr">
        <is>
          <t>肥盒</t>
        </is>
      </c>
      <c r="D165" s="82" t="inlineStr">
        <is>
          <t>散包</t>
        </is>
      </c>
      <c r="E165" s="81" t="inlineStr">
        <is>
          <t>售罄</t>
        </is>
      </c>
      <c r="F165" s="81" t="n"/>
      <c r="G165" s="81" t="n"/>
      <c r="H165" s="81" t="n">
        <v>134.15</v>
      </c>
      <c r="I165" s="81" t="inlineStr">
        <is>
          <t>简中</t>
        </is>
      </c>
      <c r="J165" s="81" t="inlineStr">
        <is>
          <t>否</t>
        </is>
      </c>
      <c r="K165" s="81" t="inlineStr">
        <is>
          <t>否</t>
        </is>
      </c>
      <c r="L165" s="81" t="n">
        <v>6</v>
      </c>
      <c r="M165" s="80" t="inlineStr">
        <is>
          <t>/products/cs3b-slim.png</t>
        </is>
      </c>
      <c r="N165" s="81" t="n"/>
      <c r="O165" s="81" t="inlineStr">
        <is>
          <t>扩充包</t>
        </is>
      </c>
      <c r="P165" s="80" t="inlineStr">
        <is>
          <t>简中宝可梦 剑&amp;盾 洪荒演武 激（CS3bC），2023年11月17日发售，5张/包×30包/盒。</t>
        </is>
      </c>
      <c r="Q165" s="80" t="inlineStr">
        <is>
          <t>cmqukjulb000f2odk4m7zdkf0</t>
        </is>
      </c>
      <c r="R165" s="80" t="inlineStr">
        <is>
          <t>洪荒演武-激-box-简中</t>
        </is>
      </c>
      <c r="S165" s="81" t="inlineStr">
        <is>
          <t>Pokemon</t>
        </is>
      </c>
      <c r="T165" s="80" t="inlineStr">
        <is>
          <t>https://pimart-card-production.up.railway.app/products/%E6%B4%AA%E8%8D%92%E6%BC%94%E6%AD%A6-%E6%BF%80-box-%E7%AE%80%E4%B8%AD</t>
        </is>
      </c>
    </row>
    <row r="166" hidden="1" outlineLevel="1" ht="17" customHeight="1" s="59">
      <c r="A166" s="80" t="inlineStr">
        <is>
          <t>补充包 洪荒演武 激 肥盒 BOX（简中）</t>
        </is>
      </c>
      <c r="B166" s="80" t="inlineStr">
        <is>
          <t>剑&amp;盾 CS3b</t>
        </is>
      </c>
      <c r="C166" s="81" t="inlineStr">
        <is>
          <t>肥盒</t>
        </is>
      </c>
      <c r="D166" s="82" t="inlineStr">
        <is>
          <t>原箱</t>
        </is>
      </c>
      <c r="E166" s="81" t="inlineStr">
        <is>
          <t>售罄</t>
        </is>
      </c>
      <c r="F166" s="81" t="n"/>
      <c r="G166" s="81" t="n"/>
      <c r="H166" s="81" t="n">
        <v>134.15</v>
      </c>
      <c r="I166" s="81" t="inlineStr">
        <is>
          <t>简中</t>
        </is>
      </c>
      <c r="J166" s="81" t="inlineStr">
        <is>
          <t>否</t>
        </is>
      </c>
      <c r="K166" s="81" t="inlineStr">
        <is>
          <t>否</t>
        </is>
      </c>
      <c r="L166" s="81" t="n">
        <v>6</v>
      </c>
      <c r="M166" s="80" t="inlineStr">
        <is>
          <t>/products/cs3b-slim.png</t>
        </is>
      </c>
      <c r="N166" s="81" t="n"/>
      <c r="O166" s="81" t="inlineStr">
        <is>
          <t>扩充包</t>
        </is>
      </c>
      <c r="P166" s="80" t="inlineStr">
        <is>
          <t>简中宝可梦 剑&amp;盾 洪荒演武 激（CS3bC），2023年11月17日发售，5张/包×30包/盒。</t>
        </is>
      </c>
      <c r="Q166" s="80" t="inlineStr">
        <is>
          <t>cmqukjulb000f2odk4m7zdkf0</t>
        </is>
      </c>
      <c r="R166" s="80" t="inlineStr">
        <is>
          <t>洪荒演武-激-box-简中</t>
        </is>
      </c>
      <c r="S166" s="81" t="inlineStr">
        <is>
          <t>Pokemon</t>
        </is>
      </c>
      <c r="T166" s="80" t="inlineStr">
        <is>
          <t>https://pimart-card-production.up.railway.app/products/%E6%B4%AA%E8%8D%92%E6%BC%94%E6%AD%A6-%E6%BF%80-box-%E7%AE%80%E4%B8%AD</t>
        </is>
      </c>
    </row>
    <row r="167" collapsed="1" ht="18" customHeight="1" s="59">
      <c r="A167" s="77" t="inlineStr">
        <is>
          <t>补充包 洪荒演武 茂 瘦盒 BOX（简中）</t>
        </is>
      </c>
      <c r="B167" s="77" t="inlineStr">
        <is>
          <t>剑&amp;盾 CS3a</t>
        </is>
      </c>
      <c r="C167" s="78" t="inlineStr">
        <is>
          <t>瘦盒</t>
        </is>
      </c>
      <c r="D167" s="79" t="inlineStr">
        <is>
          <t>原盒</t>
        </is>
      </c>
      <c r="E167" s="78" t="inlineStr">
        <is>
          <t>售罄</t>
        </is>
      </c>
      <c r="F167" s="78" t="n">
        <v>0</v>
      </c>
      <c r="G167" s="78" t="n">
        <v>3800</v>
      </c>
      <c r="H167" s="78" t="n"/>
      <c r="I167" s="78" t="n"/>
      <c r="J167" s="78" t="n"/>
      <c r="K167" s="78" t="n"/>
      <c r="L167" s="78" t="n"/>
      <c r="M167" s="77" t="inlineStr">
        <is>
          <t>/products/cs3a-slim.png</t>
        </is>
      </c>
      <c r="N167" s="78" t="n"/>
      <c r="O167" s="78" t="n"/>
      <c r="P167" s="77" t="n"/>
      <c r="Q167" s="77" t="n"/>
      <c r="R167" s="77" t="n"/>
      <c r="S167" s="78" t="n"/>
      <c r="T167" s="77" t="n"/>
    </row>
    <row r="168" hidden="1" outlineLevel="1" collapsed="1" ht="17" customHeight="1" s="59">
      <c r="A168" s="80" t="inlineStr">
        <is>
          <t>补充包 洪荒演武 茂 瘦盒 BOX（简中）</t>
        </is>
      </c>
      <c r="B168" s="80" t="inlineStr">
        <is>
          <t>剑&amp;盾 CS3a</t>
        </is>
      </c>
      <c r="C168" s="81" t="inlineStr">
        <is>
          <t>瘦盒</t>
        </is>
      </c>
      <c r="D168" s="82" t="inlineStr">
        <is>
          <t>散包</t>
        </is>
      </c>
      <c r="E168" s="81" t="inlineStr">
        <is>
          <t>售罄</t>
        </is>
      </c>
      <c r="F168" s="81" t="n">
        <v>0</v>
      </c>
      <c r="G168" s="81" t="n">
        <v>3800</v>
      </c>
      <c r="H168" s="81" t="n"/>
      <c r="I168" s="81" t="n"/>
      <c r="J168" s="81" t="n"/>
      <c r="K168" s="81" t="n"/>
      <c r="L168" s="81" t="n"/>
      <c r="M168" s="80" t="inlineStr">
        <is>
          <t>/products/cs3a-slim.png</t>
        </is>
      </c>
      <c r="N168" s="81" t="n"/>
      <c r="O168" s="81" t="n"/>
      <c r="P168" s="80" t="n"/>
      <c r="Q168" s="80" t="n"/>
      <c r="R168" s="80" t="n"/>
      <c r="S168" s="81" t="n"/>
      <c r="T168" s="80" t="n"/>
    </row>
    <row r="169" hidden="1" outlineLevel="1" ht="17" customHeight="1" s="59">
      <c r="A169" s="80" t="inlineStr">
        <is>
          <t>补充包 洪荒演武 茂 瘦盒 BOX（简中）</t>
        </is>
      </c>
      <c r="B169" s="80" t="inlineStr">
        <is>
          <t>剑&amp;盾 CS3a</t>
        </is>
      </c>
      <c r="C169" s="81" t="inlineStr">
        <is>
          <t>瘦盒</t>
        </is>
      </c>
      <c r="D169" s="82" t="inlineStr">
        <is>
          <t>原箱</t>
        </is>
      </c>
      <c r="E169" s="81" t="inlineStr">
        <is>
          <t>售罄</t>
        </is>
      </c>
      <c r="F169" s="81" t="n">
        <v>0</v>
      </c>
      <c r="G169" s="81" t="n">
        <v>3800</v>
      </c>
      <c r="H169" s="81" t="n"/>
      <c r="I169" s="81" t="n"/>
      <c r="J169" s="81" t="n"/>
      <c r="K169" s="81" t="n"/>
      <c r="L169" s="81" t="n"/>
      <c r="M169" s="80" t="inlineStr">
        <is>
          <t>/products/cs3a-slim.png</t>
        </is>
      </c>
      <c r="N169" s="81" t="n"/>
      <c r="O169" s="81" t="n"/>
      <c r="P169" s="80" t="n"/>
      <c r="Q169" s="80" t="n"/>
      <c r="R169" s="80" t="n"/>
      <c r="S169" s="81" t="n"/>
      <c r="T169" s="80" t="n"/>
    </row>
    <row r="170" collapsed="1" ht="18" customHeight="1" s="59">
      <c r="A170" s="83" t="inlineStr">
        <is>
          <t>补充包 洪荒演武 茂 肥盒 BOX（简中）</t>
        </is>
      </c>
      <c r="B170" s="83" t="inlineStr">
        <is>
          <t>剑&amp;盾 CS3a</t>
        </is>
      </c>
      <c r="C170" s="84" t="inlineStr">
        <is>
          <t>肥盒</t>
        </is>
      </c>
      <c r="D170" s="79" t="inlineStr">
        <is>
          <t>原盒</t>
        </is>
      </c>
      <c r="E170" s="84" t="inlineStr">
        <is>
          <t>售罄</t>
        </is>
      </c>
      <c r="F170" s="84" t="n">
        <v>0</v>
      </c>
      <c r="G170" s="84" t="n"/>
      <c r="H170" s="84" t="n"/>
      <c r="I170" s="84" t="n"/>
      <c r="J170" s="84" t="n"/>
      <c r="K170" s="84" t="n"/>
      <c r="L170" s="84" t="n"/>
      <c r="M170" s="83" t="inlineStr">
        <is>
          <t>/products/cs3a-slim.png</t>
        </is>
      </c>
      <c r="N170" s="84" t="n"/>
      <c r="O170" s="84" t="inlineStr">
        <is>
          <t>扩充包</t>
        </is>
      </c>
      <c r="P170" s="83" t="inlineStr">
        <is>
          <t>简中宝可梦 剑&amp;盾 洪荒演武 茂（CS3aC），2023年11月17日发售，5张/包×30包/盒。</t>
        </is>
      </c>
      <c r="Q170" s="83" t="inlineStr">
        <is>
          <t>cmqukjul5000e2odkt3qyeyvj</t>
        </is>
      </c>
      <c r="R170" s="83" t="inlineStr">
        <is>
          <t>洪荒演武-茂-box-简中</t>
        </is>
      </c>
      <c r="S170" s="84" t="inlineStr">
        <is>
          <t>Pokemon</t>
        </is>
      </c>
      <c r="T170" s="83" t="inlineStr">
        <is>
          <t>https://pimart-card-production.up.railway.app/products/%E6%B4%AA%E8%8D%92%E6%BC%94%E6%AD%A6-%E8%8C%82-box-%E7%AE%80%E4%B8%AD</t>
        </is>
      </c>
    </row>
    <row r="171" hidden="1" outlineLevel="1" collapsed="1" ht="17" customHeight="1" s="59">
      <c r="A171" s="80" t="inlineStr">
        <is>
          <t>补充包 洪荒演武 茂 肥盒 BOX（简中）</t>
        </is>
      </c>
      <c r="B171" s="80" t="inlineStr">
        <is>
          <t>剑&amp;盾 CS3a</t>
        </is>
      </c>
      <c r="C171" s="81" t="inlineStr">
        <is>
          <t>肥盒</t>
        </is>
      </c>
      <c r="D171" s="82" t="inlineStr">
        <is>
          <t>散包</t>
        </is>
      </c>
      <c r="E171" s="81" t="inlineStr">
        <is>
          <t>售罄</t>
        </is>
      </c>
      <c r="F171" s="81" t="n">
        <v>0</v>
      </c>
      <c r="G171" s="81" t="n"/>
      <c r="H171" s="81" t="n">
        <v>134.15</v>
      </c>
      <c r="I171" s="81" t="inlineStr">
        <is>
          <t>简中</t>
        </is>
      </c>
      <c r="J171" s="81" t="inlineStr">
        <is>
          <t>否</t>
        </is>
      </c>
      <c r="K171" s="81" t="inlineStr">
        <is>
          <t>否</t>
        </is>
      </c>
      <c r="L171" s="81" t="n">
        <v>6</v>
      </c>
      <c r="M171" s="80" t="inlineStr">
        <is>
          <t>/products/cs3a-slim.png</t>
        </is>
      </c>
      <c r="N171" s="81" t="n"/>
      <c r="O171" s="81" t="inlineStr">
        <is>
          <t>扩充包</t>
        </is>
      </c>
      <c r="P171" s="80" t="inlineStr">
        <is>
          <t>简中宝可梦 剑&amp;盾 洪荒演武 茂（CS3aC），2023年11月17日发售，5张/包×30包/盒。</t>
        </is>
      </c>
      <c r="Q171" s="80" t="inlineStr">
        <is>
          <t>cmqukjul5000e2odkt3qyeyvj</t>
        </is>
      </c>
      <c r="R171" s="80" t="inlineStr">
        <is>
          <t>洪荒演武-茂-box-简中</t>
        </is>
      </c>
      <c r="S171" s="81" t="inlineStr">
        <is>
          <t>Pokemon</t>
        </is>
      </c>
      <c r="T171" s="80" t="inlineStr">
        <is>
          <t>https://pimart-card-production.up.railway.app/products/%E6%B4%AA%E8%8D%92%E6%BC%94%E6%AD%A6-%E8%8C%82-box-%E7%AE%80%E4%B8%AD</t>
        </is>
      </c>
    </row>
    <row r="172" hidden="1" outlineLevel="1" ht="17" customHeight="1" s="59">
      <c r="A172" s="80" t="inlineStr">
        <is>
          <t>补充包 洪荒演武 茂 肥盒 BOX（简中）</t>
        </is>
      </c>
      <c r="B172" s="80" t="inlineStr">
        <is>
          <t>剑&amp;盾 CS3a</t>
        </is>
      </c>
      <c r="C172" s="81" t="inlineStr">
        <is>
          <t>肥盒</t>
        </is>
      </c>
      <c r="D172" s="82" t="inlineStr">
        <is>
          <t>原箱</t>
        </is>
      </c>
      <c r="E172" s="81" t="inlineStr">
        <is>
          <t>售罄</t>
        </is>
      </c>
      <c r="F172" s="81" t="n">
        <v>0</v>
      </c>
      <c r="G172" s="81" t="n"/>
      <c r="H172" s="81" t="n">
        <v>134.15</v>
      </c>
      <c r="I172" s="81" t="inlineStr">
        <is>
          <t>简中</t>
        </is>
      </c>
      <c r="J172" s="81" t="inlineStr">
        <is>
          <t>否</t>
        </is>
      </c>
      <c r="K172" s="81" t="inlineStr">
        <is>
          <t>否</t>
        </is>
      </c>
      <c r="L172" s="81" t="n">
        <v>6</v>
      </c>
      <c r="M172" s="80" t="inlineStr">
        <is>
          <t>/products/cs3a-slim.png</t>
        </is>
      </c>
      <c r="N172" s="81" t="n"/>
      <c r="O172" s="81" t="inlineStr">
        <is>
          <t>扩充包</t>
        </is>
      </c>
      <c r="P172" s="80" t="inlineStr">
        <is>
          <t>简中宝可梦 剑&amp;盾 洪荒演武 茂（CS3aC），2023年11月17日发售，5张/包×30包/盒。</t>
        </is>
      </c>
      <c r="Q172" s="80" t="inlineStr">
        <is>
          <t>cmqukjul5000e2odkt3qyeyvj</t>
        </is>
      </c>
      <c r="R172" s="80" t="inlineStr">
        <is>
          <t>洪荒演武-茂-box-简中</t>
        </is>
      </c>
      <c r="S172" s="81" t="inlineStr">
        <is>
          <t>Pokemon</t>
        </is>
      </c>
      <c r="T172" s="80" t="inlineStr">
        <is>
          <t>https://pimart-card-production.up.railway.app/products/%E6%B4%AA%E8%8D%92%E6%BC%94%E6%AD%A6-%E8%8C%82-box-%E7%AE%80%E4%B8%AD</t>
        </is>
      </c>
    </row>
    <row r="173" collapsed="1" ht="18" customHeight="1" s="59">
      <c r="A173" s="76" t="inlineStr">
        <is>
          <t xml:space="preserve">  第2弹</t>
        </is>
      </c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</row>
    <row r="174" ht="18" customHeight="1" s="59">
      <c r="A174" s="77" t="inlineStr">
        <is>
          <t>强化包 璀璨反击 BOX（简中）</t>
        </is>
      </c>
      <c r="B174" s="77" t="inlineStr">
        <is>
          <t>剑&amp;盾 CS2.5</t>
        </is>
      </c>
      <c r="C174" s="78" t="inlineStr">
        <is>
          <t>强化包(瘦盒)</t>
        </is>
      </c>
      <c r="D174" s="79" t="inlineStr">
        <is>
          <t>原盒</t>
        </is>
      </c>
      <c r="E174" s="78" t="inlineStr">
        <is>
          <t>售罄</t>
        </is>
      </c>
      <c r="F174" s="78" t="n">
        <v>0</v>
      </c>
      <c r="G174" s="78" t="n"/>
      <c r="H174" s="78" t="n"/>
      <c r="I174" s="78" t="n"/>
      <c r="J174" s="78" t="n"/>
      <c r="K174" s="78" t="n"/>
      <c r="L174" s="78" t="n"/>
      <c r="M174" s="77" t="inlineStr">
        <is>
          <t>/products/cs25-box.png</t>
        </is>
      </c>
      <c r="N174" s="78" t="n"/>
      <c r="O174" s="78" t="inlineStr">
        <is>
          <t>扩充包</t>
        </is>
      </c>
      <c r="P174" s="77" t="inlineStr">
        <is>
          <t>官网：剑&amp;盾 强化包 璀璨反击（CS2.5）。6张/包×20包/盒。配对补充包：浓墨重彩 CS2a/b。 | 简中宝可梦 剑&amp;盾 强化包 璀璨反击（CS2.5C），6张/包×20包/盒。</t>
        </is>
      </c>
      <c r="Q174" s="77" t="inlineStr">
        <is>
          <t>cmqukjukz000d2odk11vfbvwi</t>
        </is>
      </c>
      <c r="R174" s="77" t="inlineStr">
        <is>
          <t>璀璨反击-box-简中</t>
        </is>
      </c>
      <c r="S174" s="78" t="inlineStr">
        <is>
          <t>Pokemon</t>
        </is>
      </c>
      <c r="T174" s="77" t="inlineStr">
        <is>
          <t>https://pimart-card-production.up.railway.app/products/%E7%92%80%E7%92%A8%E5%8F%8D%E5%87%BB-box-%E7%AE%80%E4%B8%AD</t>
        </is>
      </c>
    </row>
    <row r="175" hidden="1" outlineLevel="1" collapsed="1" ht="17" customHeight="1" s="59">
      <c r="A175" s="80" t="inlineStr">
        <is>
          <t>强化包 璀璨反击 BOX（简中）</t>
        </is>
      </c>
      <c r="B175" s="80" t="inlineStr">
        <is>
          <t>剑&amp;盾 CS2.5</t>
        </is>
      </c>
      <c r="C175" s="81" t="inlineStr">
        <is>
          <t>强化包(瘦盒)</t>
        </is>
      </c>
      <c r="D175" s="82" t="inlineStr">
        <is>
          <t>散包</t>
        </is>
      </c>
      <c r="E175" s="81" t="inlineStr">
        <is>
          <t>售罄</t>
        </is>
      </c>
      <c r="F175" s="81" t="n"/>
      <c r="G175" s="81" t="n"/>
      <c r="H175" s="81" t="n">
        <v>101.95</v>
      </c>
      <c r="I175" s="81" t="inlineStr">
        <is>
          <t>简中</t>
        </is>
      </c>
      <c r="J175" s="81" t="inlineStr">
        <is>
          <t>否</t>
        </is>
      </c>
      <c r="K175" s="81" t="inlineStr">
        <is>
          <t>否</t>
        </is>
      </c>
      <c r="L175" s="81" t="n">
        <v>6</v>
      </c>
      <c r="M175" s="80" t="inlineStr">
        <is>
          <t>/products/cs25-box.png</t>
        </is>
      </c>
      <c r="N175" s="81" t="n"/>
      <c r="O175" s="81" t="inlineStr">
        <is>
          <t>扩充包</t>
        </is>
      </c>
      <c r="P175" s="80" t="inlineStr">
        <is>
          <t>官网：剑&amp;盾 强化包 璀璨反击（CS2.5）。6张/包×20包/盒。配对补充包：浓墨重彩 CS2a/b。 | 简中宝可梦 剑&amp;盾 强化包 璀璨反击（CS2.5C），6张/包×20包/盒。</t>
        </is>
      </c>
      <c r="Q175" s="80" t="inlineStr">
        <is>
          <t>cmqukjukz000d2odk11vfbvwi</t>
        </is>
      </c>
      <c r="R175" s="80" t="inlineStr">
        <is>
          <t>璀璨反击-box-简中</t>
        </is>
      </c>
      <c r="S175" s="81" t="inlineStr">
        <is>
          <t>Pokemon</t>
        </is>
      </c>
      <c r="T175" s="80" t="inlineStr">
        <is>
          <t>https://pimart-card-production.up.railway.app/products/%E7%92%80%E7%92%A8%E5%8F%8D%E5%87%BB-box-%E7%AE%80%E4%B8%AD</t>
        </is>
      </c>
    </row>
    <row r="176" hidden="1" outlineLevel="1" ht="17" customHeight="1" s="59">
      <c r="A176" s="80" t="inlineStr">
        <is>
          <t>强化包 璀璨反击 BOX（简中）</t>
        </is>
      </c>
      <c r="B176" s="80" t="inlineStr">
        <is>
          <t>剑&amp;盾 CS2.5</t>
        </is>
      </c>
      <c r="C176" s="81" t="inlineStr">
        <is>
          <t>强化包(瘦盒)</t>
        </is>
      </c>
      <c r="D176" s="82" t="inlineStr">
        <is>
          <t>原箱</t>
        </is>
      </c>
      <c r="E176" s="81" t="inlineStr">
        <is>
          <t>售罄</t>
        </is>
      </c>
      <c r="F176" s="81" t="n"/>
      <c r="G176" s="81" t="n"/>
      <c r="H176" s="81" t="n">
        <v>101.95</v>
      </c>
      <c r="I176" s="81" t="inlineStr">
        <is>
          <t>简中</t>
        </is>
      </c>
      <c r="J176" s="81" t="inlineStr">
        <is>
          <t>否</t>
        </is>
      </c>
      <c r="K176" s="81" t="inlineStr">
        <is>
          <t>否</t>
        </is>
      </c>
      <c r="L176" s="81" t="n">
        <v>6</v>
      </c>
      <c r="M176" s="80" t="inlineStr">
        <is>
          <t>/products/cs25-box.png</t>
        </is>
      </c>
      <c r="N176" s="81" t="n"/>
      <c r="O176" s="81" t="inlineStr">
        <is>
          <t>扩充包</t>
        </is>
      </c>
      <c r="P176" s="80" t="inlineStr">
        <is>
          <t>官网：剑&amp;盾 强化包 璀璨反击（CS2.5）。6张/包×20包/盒。配对补充包：浓墨重彩 CS2a/b。 | 简中宝可梦 剑&amp;盾 强化包 璀璨反击（CS2.5C），6张/包×20包/盒。</t>
        </is>
      </c>
      <c r="Q176" s="80" t="inlineStr">
        <is>
          <t>cmqukjukz000d2odk11vfbvwi</t>
        </is>
      </c>
      <c r="R176" s="80" t="inlineStr">
        <is>
          <t>璀璨反击-box-简中</t>
        </is>
      </c>
      <c r="S176" s="81" t="inlineStr">
        <is>
          <t>Pokemon</t>
        </is>
      </c>
      <c r="T176" s="80" t="inlineStr">
        <is>
          <t>https://pimart-card-production.up.railway.app/products/%E7%92%80%E7%92%A8%E5%8F%8D%E5%87%BB-box-%E7%AE%80%E4%B8%AD</t>
        </is>
      </c>
    </row>
    <row r="177" collapsed="1" ht="18" customHeight="1" s="59">
      <c r="A177" s="83" t="inlineStr">
        <is>
          <t>补充包 浓墨重彩 靛 瘦盒 BOX（简中）</t>
        </is>
      </c>
      <c r="B177" s="83" t="inlineStr">
        <is>
          <t>剑&amp;盾 CS2b</t>
        </is>
      </c>
      <c r="C177" s="84" t="inlineStr">
        <is>
          <t>瘦盒</t>
        </is>
      </c>
      <c r="D177" s="79" t="inlineStr">
        <is>
          <t>原盒</t>
        </is>
      </c>
      <c r="E177" s="84" t="inlineStr">
        <is>
          <t>售罄</t>
        </is>
      </c>
      <c r="F177" s="84" t="n">
        <v>0</v>
      </c>
      <c r="G177" s="84" t="n">
        <v>5000</v>
      </c>
      <c r="H177" s="84" t="n"/>
      <c r="I177" s="84" t="n"/>
      <c r="J177" s="84" t="n"/>
      <c r="K177" s="84" t="n"/>
      <c r="L177" s="84" t="n"/>
      <c r="M177" s="83" t="inlineStr">
        <is>
          <t>/products/cs2b-box.png</t>
        </is>
      </c>
      <c r="N177" s="84" t="n"/>
      <c r="O177" s="84" t="n"/>
      <c r="P177" s="83" t="n"/>
      <c r="Q177" s="83" t="n"/>
      <c r="R177" s="83" t="n"/>
      <c r="S177" s="84" t="n"/>
      <c r="T177" s="83" t="n"/>
    </row>
    <row r="178" hidden="1" outlineLevel="1" collapsed="1" ht="17" customHeight="1" s="59">
      <c r="A178" s="80" t="inlineStr">
        <is>
          <t>补充包 浓墨重彩 靛 瘦盒 BOX（简中）</t>
        </is>
      </c>
      <c r="B178" s="80" t="inlineStr">
        <is>
          <t>剑&amp;盾 CS2b</t>
        </is>
      </c>
      <c r="C178" s="81" t="inlineStr">
        <is>
          <t>瘦盒</t>
        </is>
      </c>
      <c r="D178" s="82" t="inlineStr">
        <is>
          <t>散包</t>
        </is>
      </c>
      <c r="E178" s="81" t="inlineStr">
        <is>
          <t>售罄</t>
        </is>
      </c>
      <c r="F178" s="81" t="n">
        <v>0</v>
      </c>
      <c r="G178" s="81" t="n">
        <v>5000</v>
      </c>
      <c r="H178" s="81" t="n"/>
      <c r="I178" s="81" t="n"/>
      <c r="J178" s="81" t="n"/>
      <c r="K178" s="81" t="n"/>
      <c r="L178" s="81" t="n"/>
      <c r="M178" s="80" t="inlineStr">
        <is>
          <t>/products/cs2b-box.png</t>
        </is>
      </c>
      <c r="N178" s="81" t="n"/>
      <c r="O178" s="81" t="n"/>
      <c r="P178" s="80" t="n"/>
      <c r="Q178" s="80" t="n"/>
      <c r="R178" s="80" t="n"/>
      <c r="S178" s="81" t="n"/>
      <c r="T178" s="80" t="n"/>
    </row>
    <row r="179" hidden="1" outlineLevel="1" ht="17" customHeight="1" s="59">
      <c r="A179" s="80" t="inlineStr">
        <is>
          <t>补充包 浓墨重彩 靛 瘦盒 BOX（简中）</t>
        </is>
      </c>
      <c r="B179" s="80" t="inlineStr">
        <is>
          <t>剑&amp;盾 CS2b</t>
        </is>
      </c>
      <c r="C179" s="81" t="inlineStr">
        <is>
          <t>瘦盒</t>
        </is>
      </c>
      <c r="D179" s="82" t="inlineStr">
        <is>
          <t>原箱</t>
        </is>
      </c>
      <c r="E179" s="81" t="inlineStr">
        <is>
          <t>售罄</t>
        </is>
      </c>
      <c r="F179" s="81" t="n">
        <v>0</v>
      </c>
      <c r="G179" s="81" t="n">
        <v>5000</v>
      </c>
      <c r="H179" s="81" t="n"/>
      <c r="I179" s="81" t="n"/>
      <c r="J179" s="81" t="n"/>
      <c r="K179" s="81" t="n"/>
      <c r="L179" s="81" t="n"/>
      <c r="M179" s="80" t="inlineStr">
        <is>
          <t>/products/cs2b-box.png</t>
        </is>
      </c>
      <c r="N179" s="81" t="n"/>
      <c r="O179" s="81" t="n"/>
      <c r="P179" s="80" t="n"/>
      <c r="Q179" s="80" t="n"/>
      <c r="R179" s="80" t="n"/>
      <c r="S179" s="81" t="n"/>
      <c r="T179" s="80" t="n"/>
    </row>
    <row r="180" collapsed="1" ht="18" customHeight="1" s="59">
      <c r="A180" s="77" t="inlineStr">
        <is>
          <t>补充包 浓墨重彩 靛 肥盒 BOX（简中）</t>
        </is>
      </c>
      <c r="B180" s="77" t="inlineStr">
        <is>
          <t>剑&amp;盾 CS2b</t>
        </is>
      </c>
      <c r="C180" s="78" t="inlineStr">
        <is>
          <t>肥盒</t>
        </is>
      </c>
      <c r="D180" s="79" t="inlineStr">
        <is>
          <t>原盒</t>
        </is>
      </c>
      <c r="E180" s="78" t="inlineStr">
        <is>
          <t>售罄</t>
        </is>
      </c>
      <c r="F180" s="78" t="n">
        <v>0</v>
      </c>
      <c r="G180" s="78" t="n">
        <v>4800</v>
      </c>
      <c r="H180" s="78" t="n">
        <v>128.78</v>
      </c>
      <c r="I180" s="78" t="inlineStr">
        <is>
          <t>简中</t>
        </is>
      </c>
      <c r="J180" s="78" t="inlineStr">
        <is>
          <t>否</t>
        </is>
      </c>
      <c r="K180" s="78" t="inlineStr">
        <is>
          <t>否</t>
        </is>
      </c>
      <c r="L180" s="78" t="n">
        <v>6</v>
      </c>
      <c r="M180" s="77" t="inlineStr">
        <is>
          <t>/products/cs2b-box.png</t>
        </is>
      </c>
      <c r="N180" s="78" t="n"/>
      <c r="O180" s="78" t="inlineStr">
        <is>
          <t>扩充包</t>
        </is>
      </c>
      <c r="P180" s="77" t="inlineStr">
        <is>
          <t>简中宝可梦 剑&amp;盾 浓墨重彩 靛（CS2bC），2023年8月18日发售，5张/包×30包/盒。</t>
        </is>
      </c>
      <c r="Q180" s="77" t="inlineStr">
        <is>
          <t>cmqukjuku000c2odkmfccofso</t>
        </is>
      </c>
      <c r="R180" s="77" t="inlineStr">
        <is>
          <t>浓墨重彩-靛-box-简中</t>
        </is>
      </c>
      <c r="S180" s="78" t="inlineStr">
        <is>
          <t>Pokemon</t>
        </is>
      </c>
      <c r="T180" s="77" t="inlineStr">
        <is>
          <t>https://pimart-card-production.up.railway.app/products/%E6%B5%93%E5%A2%A8%E9%87%8D%E5%BD%A9-%E9%9D%9B-box-%E7%AE%80%E4%B8%AD</t>
        </is>
      </c>
    </row>
    <row r="181" hidden="1" outlineLevel="1" collapsed="1" ht="17" customHeight="1" s="59">
      <c r="A181" s="80" t="inlineStr">
        <is>
          <t>补充包 浓墨重彩 靛 肥盒 BOX（简中）</t>
        </is>
      </c>
      <c r="B181" s="80" t="inlineStr">
        <is>
          <t>剑&amp;盾 CS2b</t>
        </is>
      </c>
      <c r="C181" s="81" t="inlineStr">
        <is>
          <t>肥盒</t>
        </is>
      </c>
      <c r="D181" s="82" t="inlineStr">
        <is>
          <t>散包</t>
        </is>
      </c>
      <c r="E181" s="81" t="inlineStr">
        <is>
          <t>售罄</t>
        </is>
      </c>
      <c r="F181" s="81" t="n"/>
      <c r="G181" s="81" t="n"/>
      <c r="H181" s="81" t="n">
        <v>128.78</v>
      </c>
      <c r="I181" s="81" t="inlineStr">
        <is>
          <t>简中</t>
        </is>
      </c>
      <c r="J181" s="81" t="inlineStr">
        <is>
          <t>否</t>
        </is>
      </c>
      <c r="K181" s="81" t="inlineStr">
        <is>
          <t>否</t>
        </is>
      </c>
      <c r="L181" s="81" t="n">
        <v>6</v>
      </c>
      <c r="M181" s="80" t="inlineStr">
        <is>
          <t>/products/cs2b-box.png</t>
        </is>
      </c>
      <c r="N181" s="81" t="n"/>
      <c r="O181" s="81" t="inlineStr">
        <is>
          <t>扩充包</t>
        </is>
      </c>
      <c r="P181" s="80" t="inlineStr">
        <is>
          <t>简中宝可梦 剑&amp;盾 浓墨重彩 靛（CS2bC），2023年8月18日发售，5张/包×30包/盒。</t>
        </is>
      </c>
      <c r="Q181" s="80" t="inlineStr">
        <is>
          <t>cmqukjuku000c2odkmfccofso</t>
        </is>
      </c>
      <c r="R181" s="80" t="inlineStr">
        <is>
          <t>浓墨重彩-靛-box-简中</t>
        </is>
      </c>
      <c r="S181" s="81" t="inlineStr">
        <is>
          <t>Pokemon</t>
        </is>
      </c>
      <c r="T181" s="80" t="inlineStr">
        <is>
          <t>https://pimart-card-production.up.railway.app/products/%E6%B5%93%E5%A2%A8%E9%87%8D%E5%BD%A9-%E9%9D%9B-box-%E7%AE%80%E4%B8%AD</t>
        </is>
      </c>
    </row>
    <row r="182" hidden="1" outlineLevel="1" ht="17" customHeight="1" s="59">
      <c r="A182" s="80" t="inlineStr">
        <is>
          <t>补充包 浓墨重彩 靛 肥盒 BOX（简中）</t>
        </is>
      </c>
      <c r="B182" s="80" t="inlineStr">
        <is>
          <t>剑&amp;盾 CS2b</t>
        </is>
      </c>
      <c r="C182" s="81" t="inlineStr">
        <is>
          <t>肥盒</t>
        </is>
      </c>
      <c r="D182" s="82" t="inlineStr">
        <is>
          <t>原箱</t>
        </is>
      </c>
      <c r="E182" s="81" t="inlineStr">
        <is>
          <t>售罄</t>
        </is>
      </c>
      <c r="F182" s="81" t="n"/>
      <c r="G182" s="81" t="n"/>
      <c r="H182" s="81" t="n">
        <v>128.78</v>
      </c>
      <c r="I182" s="81" t="inlineStr">
        <is>
          <t>简中</t>
        </is>
      </c>
      <c r="J182" s="81" t="inlineStr">
        <is>
          <t>否</t>
        </is>
      </c>
      <c r="K182" s="81" t="inlineStr">
        <is>
          <t>否</t>
        </is>
      </c>
      <c r="L182" s="81" t="n">
        <v>6</v>
      </c>
      <c r="M182" s="80" t="inlineStr">
        <is>
          <t>/products/cs2b-box.png</t>
        </is>
      </c>
      <c r="N182" s="81" t="n"/>
      <c r="O182" s="81" t="inlineStr">
        <is>
          <t>扩充包</t>
        </is>
      </c>
      <c r="P182" s="80" t="inlineStr">
        <is>
          <t>简中宝可梦 剑&amp;盾 浓墨重彩 靛（CS2bC），2023年8月18日发售，5张/包×30包/盒。</t>
        </is>
      </c>
      <c r="Q182" s="80" t="inlineStr">
        <is>
          <t>cmqukjuku000c2odkmfccofso</t>
        </is>
      </c>
      <c r="R182" s="80" t="inlineStr">
        <is>
          <t>浓墨重彩-靛-box-简中</t>
        </is>
      </c>
      <c r="S182" s="81" t="inlineStr">
        <is>
          <t>Pokemon</t>
        </is>
      </c>
      <c r="T182" s="80" t="inlineStr">
        <is>
          <t>https://pimart-card-production.up.railway.app/products/%E6%B5%93%E5%A2%A8%E9%87%8D%E5%BD%A9-%E9%9D%9B-box-%E7%AE%80%E4%B8%AD</t>
        </is>
      </c>
    </row>
    <row r="183" collapsed="1" ht="18" customHeight="1" s="59">
      <c r="A183" s="83" t="inlineStr">
        <is>
          <t>补充包 浓墨重彩 黎 瘦盒 BOX（简中）</t>
        </is>
      </c>
      <c r="B183" s="83" t="inlineStr">
        <is>
          <t>剑&amp;盾 CS2a</t>
        </is>
      </c>
      <c r="C183" s="84" t="inlineStr">
        <is>
          <t>瘦盒</t>
        </is>
      </c>
      <c r="D183" s="79" t="inlineStr">
        <is>
          <t>原盒</t>
        </is>
      </c>
      <c r="E183" s="84" t="inlineStr">
        <is>
          <t>售罄</t>
        </is>
      </c>
      <c r="F183" s="84" t="n">
        <v>0</v>
      </c>
      <c r="G183" s="84" t="n">
        <v>3800</v>
      </c>
      <c r="H183" s="84" t="n"/>
      <c r="I183" s="84" t="n"/>
      <c r="J183" s="84" t="n"/>
      <c r="K183" s="84" t="n"/>
      <c r="L183" s="84" t="n"/>
      <c r="M183" s="83" t="inlineStr">
        <is>
          <t>/products/cs2a-box.png</t>
        </is>
      </c>
      <c r="N183" s="84" t="n"/>
      <c r="O183" s="84" t="n"/>
      <c r="P183" s="83" t="n"/>
      <c r="Q183" s="83" t="n"/>
      <c r="R183" s="83" t="n"/>
      <c r="S183" s="84" t="n"/>
      <c r="T183" s="83" t="n"/>
    </row>
    <row r="184" hidden="1" outlineLevel="1" collapsed="1" ht="17" customHeight="1" s="59">
      <c r="A184" s="80" t="inlineStr">
        <is>
          <t>补充包 浓墨重彩 黎 瘦盒 BOX（简中）</t>
        </is>
      </c>
      <c r="B184" s="80" t="inlineStr">
        <is>
          <t>剑&amp;盾 CS2a</t>
        </is>
      </c>
      <c r="C184" s="81" t="inlineStr">
        <is>
          <t>瘦盒</t>
        </is>
      </c>
      <c r="D184" s="82" t="inlineStr">
        <is>
          <t>散包</t>
        </is>
      </c>
      <c r="E184" s="81" t="inlineStr">
        <is>
          <t>售罄</t>
        </is>
      </c>
      <c r="F184" s="81" t="n">
        <v>0</v>
      </c>
      <c r="G184" s="81" t="n">
        <v>3800</v>
      </c>
      <c r="H184" s="81" t="n"/>
      <c r="I184" s="81" t="n"/>
      <c r="J184" s="81" t="n"/>
      <c r="K184" s="81" t="n"/>
      <c r="L184" s="81" t="n"/>
      <c r="M184" s="80" t="inlineStr">
        <is>
          <t>/products/cs2a-box.png</t>
        </is>
      </c>
      <c r="N184" s="81" t="n"/>
      <c r="O184" s="81" t="n"/>
      <c r="P184" s="80" t="n"/>
      <c r="Q184" s="80" t="n"/>
      <c r="R184" s="80" t="n"/>
      <c r="S184" s="81" t="n"/>
      <c r="T184" s="80" t="n"/>
    </row>
    <row r="185" hidden="1" outlineLevel="1" ht="17" customHeight="1" s="59">
      <c r="A185" s="80" t="inlineStr">
        <is>
          <t>补充包 浓墨重彩 黎 瘦盒 BOX（简中）</t>
        </is>
      </c>
      <c r="B185" s="80" t="inlineStr">
        <is>
          <t>剑&amp;盾 CS2a</t>
        </is>
      </c>
      <c r="C185" s="81" t="inlineStr">
        <is>
          <t>瘦盒</t>
        </is>
      </c>
      <c r="D185" s="82" t="inlineStr">
        <is>
          <t>原箱</t>
        </is>
      </c>
      <c r="E185" s="81" t="inlineStr">
        <is>
          <t>售罄</t>
        </is>
      </c>
      <c r="F185" s="81" t="n">
        <v>0</v>
      </c>
      <c r="G185" s="81" t="n">
        <v>3800</v>
      </c>
      <c r="H185" s="81" t="n"/>
      <c r="I185" s="81" t="n"/>
      <c r="J185" s="81" t="n"/>
      <c r="K185" s="81" t="n"/>
      <c r="L185" s="81" t="n"/>
      <c r="M185" s="80" t="inlineStr">
        <is>
          <t>/products/cs2a-box.png</t>
        </is>
      </c>
      <c r="N185" s="81" t="n"/>
      <c r="O185" s="81" t="n"/>
      <c r="P185" s="80" t="n"/>
      <c r="Q185" s="80" t="n"/>
      <c r="R185" s="80" t="n"/>
      <c r="S185" s="81" t="n"/>
      <c r="T185" s="80" t="n"/>
    </row>
    <row r="186" collapsed="1" ht="18" customHeight="1" s="59">
      <c r="A186" s="77" t="inlineStr">
        <is>
          <t>补充包 浓墨重彩 黎 肥盒 BOX（简中）</t>
        </is>
      </c>
      <c r="B186" s="77" t="inlineStr">
        <is>
          <t>剑&amp;盾 CS2a</t>
        </is>
      </c>
      <c r="C186" s="78" t="inlineStr">
        <is>
          <t>肥盒</t>
        </is>
      </c>
      <c r="D186" s="79" t="inlineStr">
        <is>
          <t>原盒</t>
        </is>
      </c>
      <c r="E186" s="78" t="inlineStr">
        <is>
          <t>售罄</t>
        </is>
      </c>
      <c r="F186" s="78" t="n">
        <v>0</v>
      </c>
      <c r="G186" s="78" t="n">
        <v>4800</v>
      </c>
      <c r="H186" s="78" t="n">
        <v>128.78</v>
      </c>
      <c r="I186" s="78" t="inlineStr">
        <is>
          <t>简中</t>
        </is>
      </c>
      <c r="J186" s="78" t="inlineStr">
        <is>
          <t>否</t>
        </is>
      </c>
      <c r="K186" s="78" t="inlineStr">
        <is>
          <t>否</t>
        </is>
      </c>
      <c r="L186" s="78" t="n">
        <v>6</v>
      </c>
      <c r="M186" s="77" t="inlineStr">
        <is>
          <t>/products/cs2a-box.png</t>
        </is>
      </c>
      <c r="N186" s="78" t="n"/>
      <c r="O186" s="78" t="inlineStr">
        <is>
          <t>扩充包</t>
        </is>
      </c>
      <c r="P186" s="77" t="inlineStr">
        <is>
          <t>简中宝可梦 剑&amp;盾 浓墨重彩 黎（CS2aC），2023年8月18日发售，5张/包×30包/盒。</t>
        </is>
      </c>
      <c r="Q186" s="77" t="inlineStr">
        <is>
          <t>cmqukjukp000b2odko4sieye6</t>
        </is>
      </c>
      <c r="R186" s="77" t="inlineStr">
        <is>
          <t>浓墨重彩-黎-box-简中</t>
        </is>
      </c>
      <c r="S186" s="78" t="inlineStr">
        <is>
          <t>Pokemon</t>
        </is>
      </c>
      <c r="T186" s="77" t="inlineStr">
        <is>
          <t>https://pimart-card-production.up.railway.app/products/%E6%B5%93%E5%A2%A8%E9%87%8D%E5%BD%A9-%E9%BB%8E-box-%E7%AE%80%E4%B8%AD</t>
        </is>
      </c>
    </row>
    <row r="187" hidden="1" outlineLevel="1" ht="17" customHeight="1" s="59">
      <c r="A187" s="80" t="inlineStr">
        <is>
          <t>补充包 浓墨重彩 黎 肥盒 BOX（简中）</t>
        </is>
      </c>
      <c r="B187" s="80" t="inlineStr">
        <is>
          <t>剑&amp;盾 CS2a</t>
        </is>
      </c>
      <c r="C187" s="81" t="inlineStr">
        <is>
          <t>肥盒</t>
        </is>
      </c>
      <c r="D187" s="82" t="inlineStr">
        <is>
          <t>散包</t>
        </is>
      </c>
      <c r="E187" s="81" t="inlineStr">
        <is>
          <t>售罄</t>
        </is>
      </c>
      <c r="F187" s="81" t="n">
        <v>0</v>
      </c>
      <c r="G187" s="81" t="n"/>
      <c r="H187" s="81" t="n"/>
      <c r="I187" s="81" t="n"/>
      <c r="J187" s="81" t="n"/>
      <c r="K187" s="81" t="n"/>
      <c r="L187" s="81" t="n"/>
      <c r="M187" s="80" t="inlineStr">
        <is>
          <t>/products/cs2a-box.png</t>
        </is>
      </c>
      <c r="N187" s="81" t="n"/>
      <c r="O187" s="81" t="inlineStr">
        <is>
          <t>扩充包</t>
        </is>
      </c>
      <c r="P187" s="80" t="inlineStr">
        <is>
          <t>简中宝可梦 剑&amp;盾 浓墨重彩 黎（CS2aC），2023年8月18日发售，5张/包×30包/盒。</t>
        </is>
      </c>
      <c r="Q187" s="80" t="inlineStr">
        <is>
          <t>cmqukjukp000b2odko4sieye6</t>
        </is>
      </c>
      <c r="R187" s="80" t="inlineStr">
        <is>
          <t>浓墨重彩-黎-box-简中</t>
        </is>
      </c>
      <c r="S187" s="81" t="inlineStr">
        <is>
          <t>Pokemon</t>
        </is>
      </c>
      <c r="T187" s="80" t="inlineStr">
        <is>
          <t>https://pimart-card-production.up.railway.app/products/%E6%B5%93%E5%A2%A8%E9%87%8D%E5%BD%A9-%E9%BB%8E-box-%E7%AE%80%E4%B8%AD</t>
        </is>
      </c>
    </row>
    <row r="188" hidden="1" outlineLevel="1" ht="17" customHeight="1" s="59">
      <c r="A188" s="80" t="inlineStr">
        <is>
          <t>补充包 浓墨重彩 黎 肥盒 BOX（简中）</t>
        </is>
      </c>
      <c r="B188" s="80" t="inlineStr">
        <is>
          <t>剑&amp;盾 CS2a</t>
        </is>
      </c>
      <c r="C188" s="81" t="inlineStr">
        <is>
          <t>肥盒</t>
        </is>
      </c>
      <c r="D188" s="82" t="inlineStr">
        <is>
          <t>原箱</t>
        </is>
      </c>
      <c r="E188" s="81" t="inlineStr">
        <is>
          <t>售罄</t>
        </is>
      </c>
      <c r="F188" s="81" t="n">
        <v>0</v>
      </c>
      <c r="G188" s="81" t="n"/>
      <c r="H188" s="81" t="n"/>
      <c r="I188" s="81" t="n"/>
      <c r="J188" s="81" t="n"/>
      <c r="K188" s="81" t="n"/>
      <c r="L188" s="81" t="n"/>
      <c r="M188" s="80" t="inlineStr">
        <is>
          <t>/products/cs2a-box.png</t>
        </is>
      </c>
      <c r="N188" s="81" t="n"/>
      <c r="O188" s="81" t="inlineStr">
        <is>
          <t>扩充包</t>
        </is>
      </c>
      <c r="P188" s="80" t="inlineStr">
        <is>
          <t>简中宝可梦 剑&amp;盾 浓墨重彩 黎（CS2aC），2023年8月18日发售，5张/包×30包/盒。</t>
        </is>
      </c>
      <c r="Q188" s="80" t="inlineStr">
        <is>
          <t>cmqukjukp000b2odko4sieye6</t>
        </is>
      </c>
      <c r="R188" s="80" t="inlineStr">
        <is>
          <t>浓墨重彩-黎-box-简中</t>
        </is>
      </c>
      <c r="S188" s="81" t="inlineStr">
        <is>
          <t>Pokemon</t>
        </is>
      </c>
      <c r="T188" s="80" t="inlineStr">
        <is>
          <t>https://pimart-card-production.up.railway.app/products/%E6%B5%93%E5%A2%A8%E9%87%8D%E5%BD%A9-%E9%BB%8E-box-%E7%AE%80%E4%B8%AD</t>
        </is>
      </c>
    </row>
    <row r="189" collapsed="1" ht="20" customHeight="1" s="59">
      <c r="A189" s="75" t="inlineStr">
        <is>
          <t>）</t>
        </is>
      </c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</row>
    <row r="190" ht="18" customHeight="1" s="59">
      <c r="A190" s="83" t="inlineStr">
        <is>
          <t>强化包 极巨攻防 BOX（简中）</t>
        </is>
      </c>
      <c r="B190" s="83" t="inlineStr">
        <is>
          <t>剑&amp;盾 CS1.5</t>
        </is>
      </c>
      <c r="C190" s="84" t="inlineStr">
        <is>
          <t>强化包(瘦盒)</t>
        </is>
      </c>
      <c r="D190" s="79" t="inlineStr">
        <is>
          <t>原盒</t>
        </is>
      </c>
      <c r="E190" s="84" t="inlineStr">
        <is>
          <t>售罄</t>
        </is>
      </c>
      <c r="F190" s="84" t="n">
        <v>0</v>
      </c>
      <c r="G190" s="84" t="n">
        <v>3800</v>
      </c>
      <c r="H190" s="84" t="n">
        <v>101.95</v>
      </c>
      <c r="I190" s="84" t="inlineStr">
        <is>
          <t>简中</t>
        </is>
      </c>
      <c r="J190" s="84" t="inlineStr">
        <is>
          <t>否</t>
        </is>
      </c>
      <c r="K190" s="84" t="inlineStr">
        <is>
          <t>否</t>
        </is>
      </c>
      <c r="L190" s="84" t="n">
        <v>6</v>
      </c>
      <c r="M190" s="83" t="inlineStr">
        <is>
          <t>/products/cs15-box.png</t>
        </is>
      </c>
      <c r="N190" s="84" t="n"/>
      <c r="O190" s="84" t="inlineStr">
        <is>
          <t>扩充包</t>
        </is>
      </c>
      <c r="P190" s="83" t="inlineStr">
        <is>
          <t>官网：剑&amp;盾 强化包 极巨攻防（CS1.5）。6张/包×20包/盒。配对补充包：极巨争锋 CS1a/b。 | 简中宝可梦 剑&amp;盾 强化包 极巨攻防（CS1.5C），6张/包×20包/盒。</t>
        </is>
      </c>
      <c r="Q190" s="83" t="inlineStr">
        <is>
          <t>cmqukjukk000a2odkvaco8iiu</t>
        </is>
      </c>
      <c r="R190" s="83" t="inlineStr">
        <is>
          <t>极巨攻防-box-简中</t>
        </is>
      </c>
      <c r="S190" s="84" t="inlineStr">
        <is>
          <t>Pokemon</t>
        </is>
      </c>
      <c r="T190" s="83" t="inlineStr">
        <is>
          <t>https://pimart-card-production.up.railway.app/products/%E6%9E%81%E5%B7%A8%E6%94%BB%E9%98%B2-box-%E7%AE%80%E4%B8%AD</t>
        </is>
      </c>
    </row>
    <row r="191" hidden="1" outlineLevel="1" collapsed="1" ht="17" customHeight="1" s="59">
      <c r="A191" s="80" t="inlineStr">
        <is>
          <t>强化包 极巨攻防 BOX（简中）</t>
        </is>
      </c>
      <c r="B191" s="80" t="inlineStr">
        <is>
          <t>剑&amp;盾 CS1.5</t>
        </is>
      </c>
      <c r="C191" s="81" t="inlineStr">
        <is>
          <t>强化包(瘦盒)</t>
        </is>
      </c>
      <c r="D191" s="82" t="inlineStr">
        <is>
          <t>散包</t>
        </is>
      </c>
      <c r="E191" s="81" t="inlineStr">
        <is>
          <t>售罄</t>
        </is>
      </c>
      <c r="F191" s="81" t="n"/>
      <c r="G191" s="81" t="n"/>
      <c r="H191" s="81" t="n">
        <v>101.95</v>
      </c>
      <c r="I191" s="81" t="inlineStr">
        <is>
          <t>简中</t>
        </is>
      </c>
      <c r="J191" s="81" t="inlineStr">
        <is>
          <t>否</t>
        </is>
      </c>
      <c r="K191" s="81" t="inlineStr">
        <is>
          <t>否</t>
        </is>
      </c>
      <c r="L191" s="81" t="n">
        <v>6</v>
      </c>
      <c r="M191" s="80" t="inlineStr">
        <is>
          <t>/products/cs15-box.png</t>
        </is>
      </c>
      <c r="N191" s="81" t="n"/>
      <c r="O191" s="81" t="inlineStr">
        <is>
          <t>扩充包</t>
        </is>
      </c>
      <c r="P191" s="80" t="inlineStr">
        <is>
          <t>官网：剑&amp;盾 强化包 极巨攻防（CS1.5）。6张/包×20包/盒。配对补充包：极巨争锋 CS1a/b。 | 简中宝可梦 剑&amp;盾 强化包 极巨攻防（CS1.5C），6张/包×20包/盒。</t>
        </is>
      </c>
      <c r="Q191" s="80" t="inlineStr">
        <is>
          <t>cmqukjukk000a2odkvaco8iiu</t>
        </is>
      </c>
      <c r="R191" s="80" t="inlineStr">
        <is>
          <t>极巨攻防-box-简中</t>
        </is>
      </c>
      <c r="S191" s="81" t="inlineStr">
        <is>
          <t>Pokemon</t>
        </is>
      </c>
      <c r="T191" s="80" t="inlineStr">
        <is>
          <t>https://pimart-card-production.up.railway.app/products/%E6%9E%81%E5%B7%A8%E6%94%BB%E9%98%B2-box-%E7%AE%80%E4%B8%AD</t>
        </is>
      </c>
    </row>
    <row r="192" hidden="1" outlineLevel="1" ht="17" customHeight="1" s="59">
      <c r="A192" s="80" t="inlineStr">
        <is>
          <t>强化包 极巨攻防 BOX（简中）</t>
        </is>
      </c>
      <c r="B192" s="80" t="inlineStr">
        <is>
          <t>剑&amp;盾 CS1.5</t>
        </is>
      </c>
      <c r="C192" s="81" t="inlineStr">
        <is>
          <t>强化包(瘦盒)</t>
        </is>
      </c>
      <c r="D192" s="82" t="inlineStr">
        <is>
          <t>原箱</t>
        </is>
      </c>
      <c r="E192" s="81" t="inlineStr">
        <is>
          <t>售罄</t>
        </is>
      </c>
      <c r="F192" s="81" t="n"/>
      <c r="G192" s="81" t="n"/>
      <c r="H192" s="81" t="n">
        <v>101.95</v>
      </c>
      <c r="I192" s="81" t="inlineStr">
        <is>
          <t>简中</t>
        </is>
      </c>
      <c r="J192" s="81" t="inlineStr">
        <is>
          <t>否</t>
        </is>
      </c>
      <c r="K192" s="81" t="inlineStr">
        <is>
          <t>否</t>
        </is>
      </c>
      <c r="L192" s="81" t="n">
        <v>6</v>
      </c>
      <c r="M192" s="80" t="inlineStr">
        <is>
          <t>/products/cs15-box.png</t>
        </is>
      </c>
      <c r="N192" s="81" t="n"/>
      <c r="O192" s="81" t="inlineStr">
        <is>
          <t>扩充包</t>
        </is>
      </c>
      <c r="P192" s="80" t="inlineStr">
        <is>
          <t>官网：剑&amp;盾 强化包 极巨攻防（CS1.5）。6张/包×20包/盒。配对补充包：极巨争锋 CS1a/b。 | 简中宝可梦 剑&amp;盾 强化包 极巨攻防（CS1.5C），6张/包×20包/盒。</t>
        </is>
      </c>
      <c r="Q192" s="80" t="inlineStr">
        <is>
          <t>cmqukjukk000a2odkvaco8iiu</t>
        </is>
      </c>
      <c r="R192" s="80" t="inlineStr">
        <is>
          <t>极巨攻防-box-简中</t>
        </is>
      </c>
      <c r="S192" s="81" t="inlineStr">
        <is>
          <t>Pokemon</t>
        </is>
      </c>
      <c r="T192" s="80" t="inlineStr">
        <is>
          <t>https://pimart-card-production.up.railway.app/products/%E6%9E%81%E5%B7%A8%E6%94%BB%E9%98%B2-box-%E7%AE%80%E4%B8%AD</t>
        </is>
      </c>
    </row>
    <row r="193" collapsed="1" ht="18" customHeight="1" s="59">
      <c r="A193" s="77" t="inlineStr">
        <is>
          <t>补充包 极巨争锋 焰 瘦盒 BOX（简中）</t>
        </is>
      </c>
      <c r="B193" s="77" t="inlineStr">
        <is>
          <t>剑&amp;盾 CS1b</t>
        </is>
      </c>
      <c r="C193" s="78" t="inlineStr">
        <is>
          <t>瘦盒</t>
        </is>
      </c>
      <c r="D193" s="79" t="inlineStr">
        <is>
          <t>原盒</t>
        </is>
      </c>
      <c r="E193" s="78" t="inlineStr">
        <is>
          <t>售罄</t>
        </is>
      </c>
      <c r="F193" s="78" t="n">
        <v>0</v>
      </c>
      <c r="G193" s="78" t="n">
        <v>4800</v>
      </c>
      <c r="H193" s="78" t="n"/>
      <c r="I193" s="78" t="n"/>
      <c r="J193" s="78" t="n"/>
      <c r="K193" s="78" t="n"/>
      <c r="L193" s="78" t="n"/>
      <c r="M193" s="77" t="inlineStr">
        <is>
          <t>/products/cs1b-box.png</t>
        </is>
      </c>
      <c r="N193" s="78" t="n"/>
      <c r="O193" s="78" t="n"/>
      <c r="P193" s="77" t="n"/>
      <c r="Q193" s="77" t="n"/>
      <c r="R193" s="77" t="n"/>
      <c r="S193" s="78" t="n"/>
      <c r="T193" s="77" t="n"/>
    </row>
    <row r="194" hidden="1" outlineLevel="1" collapsed="1" ht="17" customHeight="1" s="59">
      <c r="A194" s="80" t="inlineStr">
        <is>
          <t>补充包 极巨争锋 焰 瘦盒 BOX（简中）</t>
        </is>
      </c>
      <c r="B194" s="80" t="inlineStr">
        <is>
          <t>剑&amp;盾 CS1b</t>
        </is>
      </c>
      <c r="C194" s="81" t="inlineStr">
        <is>
          <t>瘦盒</t>
        </is>
      </c>
      <c r="D194" s="82" t="inlineStr">
        <is>
          <t>散包</t>
        </is>
      </c>
      <c r="E194" s="81" t="inlineStr">
        <is>
          <t>售罄</t>
        </is>
      </c>
      <c r="F194" s="81" t="n">
        <v>0</v>
      </c>
      <c r="G194" s="81" t="n">
        <v>4800</v>
      </c>
      <c r="H194" s="81" t="n"/>
      <c r="I194" s="81" t="n"/>
      <c r="J194" s="81" t="n"/>
      <c r="K194" s="81" t="n"/>
      <c r="L194" s="81" t="n"/>
      <c r="M194" s="80" t="inlineStr">
        <is>
          <t>/products/cs1b-box.png</t>
        </is>
      </c>
      <c r="N194" s="81" t="n"/>
      <c r="O194" s="81" t="n"/>
      <c r="P194" s="80" t="n"/>
      <c r="Q194" s="80" t="n"/>
      <c r="R194" s="80" t="n"/>
      <c r="S194" s="81" t="n"/>
      <c r="T194" s="80" t="n"/>
    </row>
    <row r="195" hidden="1" outlineLevel="1" ht="17" customHeight="1" s="59">
      <c r="A195" s="80" t="inlineStr">
        <is>
          <t>补充包 极巨争锋 焰 瘦盒 BOX（简中）</t>
        </is>
      </c>
      <c r="B195" s="80" t="inlineStr">
        <is>
          <t>剑&amp;盾 CS1b</t>
        </is>
      </c>
      <c r="C195" s="81" t="inlineStr">
        <is>
          <t>瘦盒</t>
        </is>
      </c>
      <c r="D195" s="82" t="inlineStr">
        <is>
          <t>原箱</t>
        </is>
      </c>
      <c r="E195" s="81" t="inlineStr">
        <is>
          <t>售罄</t>
        </is>
      </c>
      <c r="F195" s="81" t="n">
        <v>0</v>
      </c>
      <c r="G195" s="81" t="n">
        <v>4800</v>
      </c>
      <c r="H195" s="81" t="n"/>
      <c r="I195" s="81" t="n"/>
      <c r="J195" s="81" t="n"/>
      <c r="K195" s="81" t="n"/>
      <c r="L195" s="81" t="n"/>
      <c r="M195" s="80" t="inlineStr">
        <is>
          <t>/products/cs1b-box.png</t>
        </is>
      </c>
      <c r="N195" s="81" t="n"/>
      <c r="O195" s="81" t="n"/>
      <c r="P195" s="80" t="n"/>
      <c r="Q195" s="80" t="n"/>
      <c r="R195" s="80" t="n"/>
      <c r="S195" s="81" t="n"/>
      <c r="T195" s="80" t="n"/>
    </row>
    <row r="196" collapsed="1" ht="18" customHeight="1" s="59">
      <c r="A196" s="83" t="inlineStr">
        <is>
          <t>补充包 极巨争锋 焰 肥盒 BOX（简中）</t>
        </is>
      </c>
      <c r="B196" s="83" t="inlineStr">
        <is>
          <t>剑&amp;盾 CS1b</t>
        </is>
      </c>
      <c r="C196" s="84" t="inlineStr">
        <is>
          <t>肥盒</t>
        </is>
      </c>
      <c r="D196" s="79" t="inlineStr">
        <is>
          <t>原盒</t>
        </is>
      </c>
      <c r="E196" s="84" t="inlineStr">
        <is>
          <t>售罄</t>
        </is>
      </c>
      <c r="F196" s="84" t="n">
        <v>0</v>
      </c>
      <c r="G196" s="84" t="n">
        <v>4800</v>
      </c>
      <c r="H196" s="84" t="n">
        <v>128.78</v>
      </c>
      <c r="I196" s="84" t="inlineStr">
        <is>
          <t>简中</t>
        </is>
      </c>
      <c r="J196" s="84" t="inlineStr">
        <is>
          <t>否</t>
        </is>
      </c>
      <c r="K196" s="84" t="inlineStr">
        <is>
          <t>否</t>
        </is>
      </c>
      <c r="L196" s="84" t="n">
        <v>6</v>
      </c>
      <c r="M196" s="83" t="inlineStr">
        <is>
          <t>/products/cs1b-box.png</t>
        </is>
      </c>
      <c r="N196" s="84" t="n"/>
      <c r="O196" s="84" t="inlineStr">
        <is>
          <t>扩充包</t>
        </is>
      </c>
      <c r="P196" s="83" t="inlineStr">
        <is>
          <t>简中宝可梦 剑&amp;盾 极巨争锋 焰（CS1bC），2023年5月19日发售，5张/包×30包/盒。</t>
        </is>
      </c>
      <c r="Q196" s="83" t="inlineStr">
        <is>
          <t>cmqukjukg00092odk2pcv7sak</t>
        </is>
      </c>
      <c r="R196" s="83" t="inlineStr">
        <is>
          <t>极巨争锋-焰-box-简中</t>
        </is>
      </c>
      <c r="S196" s="84" t="inlineStr">
        <is>
          <t>Pokemon</t>
        </is>
      </c>
      <c r="T196" s="83" t="inlineStr">
        <is>
          <t>https://pimart-card-production.up.railway.app/products/%E6%9E%81%E5%B7%A8%E4%BA%89%E9%94%8B-%E7%84%B0-box-%E7%AE%80%E4%B8%AD</t>
        </is>
      </c>
    </row>
    <row r="197" hidden="1" outlineLevel="1" ht="17" customHeight="1" s="59">
      <c r="A197" s="80" t="inlineStr">
        <is>
          <t>补充包 极巨争锋 焰 肥盒 BOX（简中）</t>
        </is>
      </c>
      <c r="B197" s="80" t="inlineStr">
        <is>
          <t>剑&amp;盾 CS1b</t>
        </is>
      </c>
      <c r="C197" s="81" t="inlineStr">
        <is>
          <t>肥盒</t>
        </is>
      </c>
      <c r="D197" s="82" t="inlineStr">
        <is>
          <t>散包</t>
        </is>
      </c>
      <c r="E197" s="81" t="inlineStr">
        <is>
          <t>售罄</t>
        </is>
      </c>
      <c r="F197" s="81" t="n"/>
      <c r="G197" s="81" t="n"/>
      <c r="H197" s="81" t="n">
        <v>128.78</v>
      </c>
      <c r="I197" s="81" t="inlineStr">
        <is>
          <t>简中</t>
        </is>
      </c>
      <c r="J197" s="81" t="inlineStr">
        <is>
          <t>否</t>
        </is>
      </c>
      <c r="K197" s="81" t="inlineStr">
        <is>
          <t>否</t>
        </is>
      </c>
      <c r="L197" s="81" t="n">
        <v>6</v>
      </c>
      <c r="M197" s="80" t="inlineStr">
        <is>
          <t>/products/cs1b-box.png</t>
        </is>
      </c>
      <c r="N197" s="81" t="n"/>
      <c r="O197" s="81" t="inlineStr">
        <is>
          <t>扩充包</t>
        </is>
      </c>
      <c r="P197" s="80" t="inlineStr">
        <is>
          <t>简中宝可梦 剑&amp;盾 极巨争锋 焰（CS1bC），2023年5月19日发售，5张/包×30包/盒。</t>
        </is>
      </c>
      <c r="Q197" s="80" t="inlineStr">
        <is>
          <t>cmqukjukg00092odk2pcv7sak</t>
        </is>
      </c>
      <c r="R197" s="80" t="inlineStr">
        <is>
          <t>极巨争锋-焰-box-简中</t>
        </is>
      </c>
      <c r="S197" s="81" t="inlineStr">
        <is>
          <t>Pokemon</t>
        </is>
      </c>
      <c r="T197" s="80" t="inlineStr">
        <is>
          <t>https://pimart-card-production.up.railway.app/products/%E6%9E%81%E5%B7%A8%E4%BA%89%E9%94%8B-%E7%84%B0-box-%E7%AE%80%E4%B8%AD</t>
        </is>
      </c>
    </row>
    <row r="198" hidden="1" outlineLevel="1" collapsed="1" ht="17" customHeight="1" s="59">
      <c r="A198" s="80" t="inlineStr">
        <is>
          <t>补充包 极巨争锋 焰 肥盒 BOX（简中）</t>
        </is>
      </c>
      <c r="B198" s="80" t="inlineStr">
        <is>
          <t>剑&amp;盾 CS1b</t>
        </is>
      </c>
      <c r="C198" s="81" t="inlineStr">
        <is>
          <t>肥盒</t>
        </is>
      </c>
      <c r="D198" s="82" t="inlineStr">
        <is>
          <t>原箱</t>
        </is>
      </c>
      <c r="E198" s="81" t="inlineStr">
        <is>
          <t>售罄</t>
        </is>
      </c>
      <c r="F198" s="81" t="n"/>
      <c r="G198" s="81" t="n"/>
      <c r="H198" s="81" t="n">
        <v>128.78</v>
      </c>
      <c r="I198" s="81" t="inlineStr">
        <is>
          <t>简中</t>
        </is>
      </c>
      <c r="J198" s="81" t="inlineStr">
        <is>
          <t>否</t>
        </is>
      </c>
      <c r="K198" s="81" t="inlineStr">
        <is>
          <t>否</t>
        </is>
      </c>
      <c r="L198" s="81" t="n">
        <v>6</v>
      </c>
      <c r="M198" s="80" t="inlineStr">
        <is>
          <t>/products/cs1b-box.png</t>
        </is>
      </c>
      <c r="N198" s="81" t="n"/>
      <c r="O198" s="81" t="inlineStr">
        <is>
          <t>扩充包</t>
        </is>
      </c>
      <c r="P198" s="80" t="inlineStr">
        <is>
          <t>简中宝可梦 剑&amp;盾 极巨争锋 焰（CS1bC），2023年5月19日发售，5张/包×30包/盒。</t>
        </is>
      </c>
      <c r="Q198" s="80" t="inlineStr">
        <is>
          <t>cmqukjukg00092odk2pcv7sak</t>
        </is>
      </c>
      <c r="R198" s="80" t="inlineStr">
        <is>
          <t>极巨争锋-焰-box-简中</t>
        </is>
      </c>
      <c r="S198" s="81" t="inlineStr">
        <is>
          <t>Pokemon</t>
        </is>
      </c>
      <c r="T198" s="80" t="inlineStr">
        <is>
          <t>https://pimart-card-production.up.railway.app/products/%E6%9E%81%E5%B7%A8%E4%BA%89%E9%94%8B-%E7%84%B0-box-%E7%AE%80%E4%B8%AD</t>
        </is>
      </c>
    </row>
    <row r="199" collapsed="1" ht="18" customHeight="1" s="59">
      <c r="A199" s="77" t="inlineStr">
        <is>
          <t>补充包 极巨争锋 雷 瘦盒 BOX（简中）</t>
        </is>
      </c>
      <c r="B199" s="77" t="inlineStr">
        <is>
          <t>剑&amp;盾 CS1a</t>
        </is>
      </c>
      <c r="C199" s="78" t="inlineStr">
        <is>
          <t>瘦盒</t>
        </is>
      </c>
      <c r="D199" s="79" t="inlineStr">
        <is>
          <t>原盒</t>
        </is>
      </c>
      <c r="E199" s="78" t="inlineStr">
        <is>
          <t>售罄</t>
        </is>
      </c>
      <c r="F199" s="78" t="n">
        <v>0</v>
      </c>
      <c r="G199" s="78" t="n">
        <v>4800</v>
      </c>
      <c r="H199" s="78" t="n"/>
      <c r="I199" s="78" t="n"/>
      <c r="J199" s="78" t="n"/>
      <c r="K199" s="78" t="n"/>
      <c r="L199" s="78" t="n"/>
      <c r="M199" s="77" t="inlineStr">
        <is>
          <t>/products/cs1a-box.png</t>
        </is>
      </c>
      <c r="N199" s="78" t="n"/>
      <c r="O199" s="78" t="n"/>
      <c r="P199" s="77" t="n"/>
      <c r="Q199" s="77" t="n"/>
      <c r="R199" s="77" t="n"/>
      <c r="S199" s="78" t="n"/>
      <c r="T199" s="77" t="n"/>
    </row>
    <row r="200" hidden="1" outlineLevel="1" ht="17" customHeight="1" s="59">
      <c r="A200" s="80" t="inlineStr">
        <is>
          <t>补充包 极巨争锋 雷 瘦盒 BOX（简中）</t>
        </is>
      </c>
      <c r="B200" s="80" t="inlineStr">
        <is>
          <t>剑&amp;盾 CS1a</t>
        </is>
      </c>
      <c r="C200" s="81" t="inlineStr">
        <is>
          <t>瘦盒</t>
        </is>
      </c>
      <c r="D200" s="82" t="inlineStr">
        <is>
          <t>散包</t>
        </is>
      </c>
      <c r="E200" s="81" t="inlineStr">
        <is>
          <t>售罄</t>
        </is>
      </c>
      <c r="F200" s="81" t="n">
        <v>0</v>
      </c>
      <c r="G200" s="81" t="n">
        <v>4800</v>
      </c>
      <c r="H200" s="81" t="n"/>
      <c r="I200" s="81" t="n"/>
      <c r="J200" s="81" t="n"/>
      <c r="K200" s="81" t="n"/>
      <c r="L200" s="81" t="n"/>
      <c r="M200" s="80" t="inlineStr">
        <is>
          <t>/products/cs1a-box.png</t>
        </is>
      </c>
      <c r="N200" s="81" t="n"/>
      <c r="O200" s="81" t="n"/>
      <c r="P200" s="80" t="n"/>
      <c r="Q200" s="80" t="n"/>
      <c r="R200" s="80" t="n"/>
      <c r="S200" s="81" t="n"/>
      <c r="T200" s="80" t="n"/>
    </row>
    <row r="201" hidden="1" outlineLevel="1" collapsed="1" ht="17" customHeight="1" s="59">
      <c r="A201" s="80" t="inlineStr">
        <is>
          <t>补充包 极巨争锋 雷 瘦盒 BOX（简中）</t>
        </is>
      </c>
      <c r="B201" s="80" t="inlineStr">
        <is>
          <t>剑&amp;盾 CS1a</t>
        </is>
      </c>
      <c r="C201" s="81" t="inlineStr">
        <is>
          <t>瘦盒</t>
        </is>
      </c>
      <c r="D201" s="82" t="inlineStr">
        <is>
          <t>原箱</t>
        </is>
      </c>
      <c r="E201" s="81" t="inlineStr">
        <is>
          <t>售罄</t>
        </is>
      </c>
      <c r="F201" s="81" t="n">
        <v>0</v>
      </c>
      <c r="G201" s="81" t="n">
        <v>4800</v>
      </c>
      <c r="H201" s="81" t="n"/>
      <c r="I201" s="81" t="n"/>
      <c r="J201" s="81" t="n"/>
      <c r="K201" s="81" t="n"/>
      <c r="L201" s="81" t="n"/>
      <c r="M201" s="80" t="inlineStr">
        <is>
          <t>/products/cs1a-box.png</t>
        </is>
      </c>
      <c r="N201" s="81" t="n"/>
      <c r="O201" s="81" t="n"/>
      <c r="P201" s="80" t="n"/>
      <c r="Q201" s="80" t="n"/>
      <c r="R201" s="80" t="n"/>
      <c r="S201" s="81" t="n"/>
      <c r="T201" s="80" t="n"/>
    </row>
    <row r="202" collapsed="1" ht="18" customHeight="1" s="59">
      <c r="A202" s="83" t="inlineStr">
        <is>
          <t>补充包 极巨争锋 雷 肥盒 BOX（简中）</t>
        </is>
      </c>
      <c r="B202" s="83" t="inlineStr">
        <is>
          <t>剑&amp;盾 CS1a</t>
        </is>
      </c>
      <c r="C202" s="84" t="inlineStr">
        <is>
          <t>肥盒</t>
        </is>
      </c>
      <c r="D202" s="79" t="inlineStr">
        <is>
          <t>原盒</t>
        </is>
      </c>
      <c r="E202" s="84" t="inlineStr">
        <is>
          <t>售罄</t>
        </is>
      </c>
      <c r="F202" s="84" t="n">
        <v>0</v>
      </c>
      <c r="G202" s="84" t="n">
        <v>4800</v>
      </c>
      <c r="H202" s="84" t="n">
        <v>128.78</v>
      </c>
      <c r="I202" s="84" t="inlineStr">
        <is>
          <t>简中</t>
        </is>
      </c>
      <c r="J202" s="84" t="inlineStr">
        <is>
          <t>否</t>
        </is>
      </c>
      <c r="K202" s="84" t="inlineStr">
        <is>
          <t>否</t>
        </is>
      </c>
      <c r="L202" s="84" t="n">
        <v>6</v>
      </c>
      <c r="M202" s="83" t="inlineStr">
        <is>
          <t>/products/cs1a-box.png</t>
        </is>
      </c>
      <c r="N202" s="84" t="n"/>
      <c r="O202" s="84" t="inlineStr">
        <is>
          <t>扩充包</t>
        </is>
      </c>
      <c r="P202" s="83" t="inlineStr">
        <is>
          <t>简中宝可梦 剑&amp;盾 极巨争锋 雷（CS1aC），2023年5月19日发售，5张/包×30包/盒。</t>
        </is>
      </c>
      <c r="Q202" s="83" t="inlineStr">
        <is>
          <t>cmqukjukb00082odksqmjqvjw</t>
        </is>
      </c>
      <c r="R202" s="83" t="inlineStr">
        <is>
          <t>极巨争锋-雷-box-简中</t>
        </is>
      </c>
      <c r="S202" s="84" t="inlineStr">
        <is>
          <t>Pokemon</t>
        </is>
      </c>
      <c r="T202" s="83" t="inlineStr">
        <is>
          <t>https://pimart-card-production.up.railway.app/products/%E6%9E%81%E5%B7%A8%E4%BA%89%E9%94%8B-%E9%9B%B7-box-%E7%AE%80%E4%B8%AD</t>
        </is>
      </c>
    </row>
    <row r="203" hidden="1" outlineLevel="1" ht="17" customHeight="1" s="59">
      <c r="A203" s="80" t="inlineStr">
        <is>
          <t>补充包 极巨争锋 雷 肥盒 BOX（简中）</t>
        </is>
      </c>
      <c r="B203" s="80" t="inlineStr">
        <is>
          <t>剑&amp;盾 CS1a</t>
        </is>
      </c>
      <c r="C203" s="81" t="inlineStr">
        <is>
          <t>肥盒</t>
        </is>
      </c>
      <c r="D203" s="82" t="inlineStr">
        <is>
          <t>散包</t>
        </is>
      </c>
      <c r="E203" s="81" t="inlineStr">
        <is>
          <t>售罄</t>
        </is>
      </c>
      <c r="F203" s="81" t="n"/>
      <c r="G203" s="81" t="n"/>
      <c r="H203" s="81" t="n">
        <v>128.78</v>
      </c>
      <c r="I203" s="81" t="inlineStr">
        <is>
          <t>简中</t>
        </is>
      </c>
      <c r="J203" s="81" t="inlineStr">
        <is>
          <t>否</t>
        </is>
      </c>
      <c r="K203" s="81" t="inlineStr">
        <is>
          <t>否</t>
        </is>
      </c>
      <c r="L203" s="81" t="n">
        <v>6</v>
      </c>
      <c r="M203" s="80" t="inlineStr">
        <is>
          <t>/products/cs1a-box.png</t>
        </is>
      </c>
      <c r="N203" s="81" t="n"/>
      <c r="O203" s="81" t="inlineStr">
        <is>
          <t>扩充包</t>
        </is>
      </c>
      <c r="P203" s="80" t="inlineStr">
        <is>
          <t>简中宝可梦 剑&amp;盾 极巨争锋 雷（CS1aC），2023年5月19日发售，5张/包×30包/盒。</t>
        </is>
      </c>
      <c r="Q203" s="80" t="inlineStr">
        <is>
          <t>cmqukjukb00082odksqmjqvjw</t>
        </is>
      </c>
      <c r="R203" s="80" t="inlineStr">
        <is>
          <t>极巨争锋-雷-box-简中</t>
        </is>
      </c>
      <c r="S203" s="81" t="inlineStr">
        <is>
          <t>Pokemon</t>
        </is>
      </c>
      <c r="T203" s="80" t="inlineStr">
        <is>
          <t>https://pimart-card-production.up.railway.app/products/%E6%9E%81%E5%B7%A8%E4%BA%89%E9%94%8B-%E9%9B%B7-box-%E7%AE%80%E4%B8%AD</t>
        </is>
      </c>
    </row>
    <row r="204" hidden="1" outlineLevel="1" ht="17" customHeight="1" s="59">
      <c r="A204" s="80" t="inlineStr">
        <is>
          <t>补充包 极巨争锋 雷 肥盒 BOX（简中）</t>
        </is>
      </c>
      <c r="B204" s="80" t="inlineStr">
        <is>
          <t>剑&amp;盾 CS1a</t>
        </is>
      </c>
      <c r="C204" s="81" t="inlineStr">
        <is>
          <t>肥盒</t>
        </is>
      </c>
      <c r="D204" s="82" t="inlineStr">
        <is>
          <t>原箱</t>
        </is>
      </c>
      <c r="E204" s="81" t="inlineStr">
        <is>
          <t>售罄</t>
        </is>
      </c>
      <c r="F204" s="81" t="n"/>
      <c r="G204" s="81" t="n"/>
      <c r="H204" s="81" t="n">
        <v>128.78</v>
      </c>
      <c r="I204" s="81" t="inlineStr">
        <is>
          <t>简中</t>
        </is>
      </c>
      <c r="J204" s="81" t="inlineStr">
        <is>
          <t>否</t>
        </is>
      </c>
      <c r="K204" s="81" t="inlineStr">
        <is>
          <t>否</t>
        </is>
      </c>
      <c r="L204" s="81" t="n">
        <v>6</v>
      </c>
      <c r="M204" s="80" t="inlineStr">
        <is>
          <t>/products/cs1a-box.png</t>
        </is>
      </c>
      <c r="N204" s="81" t="n"/>
      <c r="O204" s="81" t="inlineStr">
        <is>
          <t>扩充包</t>
        </is>
      </c>
      <c r="P204" s="80" t="inlineStr">
        <is>
          <t>简中宝可梦 剑&amp;盾 极巨争锋 雷（CS1aC），2023年5月19日发售，5张/包×30包/盒。</t>
        </is>
      </c>
      <c r="Q204" s="80" t="inlineStr">
        <is>
          <t>cmqukjukb00082odksqmjqvjw</t>
        </is>
      </c>
      <c r="R204" s="80" t="inlineStr">
        <is>
          <t>极巨争锋-雷-box-简中</t>
        </is>
      </c>
      <c r="S204" s="81" t="inlineStr">
        <is>
          <t>Pokemon</t>
        </is>
      </c>
      <c r="T204" s="80" t="inlineStr">
        <is>
          <t>https://pimart-card-production.up.railway.app/products/%E6%9E%81%E5%B7%A8%E4%BA%89%E9%94%8B-%E9%9B%B7-box-%E7%AE%80%E4%B8%AD</t>
        </is>
      </c>
    </row>
    <row r="205" collapsed="1" ht="6" customHeight="1" s="59"/>
    <row r="206" ht="20" customHeight="1" s="59">
      <c r="A206" s="75" t="inlineStr">
        <is>
          <t>太阳&amp;月亮 · 扩充包（强化包瘦盒优先）</t>
        </is>
      </c>
      <c r="B206" s="75" t="n"/>
      <c r="C206" s="75" t="n"/>
      <c r="D206" s="75" t="n"/>
      <c r="E206" s="75" t="n"/>
      <c r="F206" s="75" t="n"/>
      <c r="G206" s="75" t="n"/>
      <c r="H206" s="75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</row>
    <row r="207" collapsed="1" ht="20" customHeight="1" s="59">
      <c r="A207" s="75" t="inlineStr">
        <is>
          <t>第一弹扩充包</t>
        </is>
      </c>
      <c r="B207" s="75" t="n"/>
      <c r="C207" s="75" t="n"/>
      <c r="D207" s="75" t="n"/>
      <c r="E207" s="75" t="n"/>
      <c r="F207" s="75" t="n"/>
      <c r="G207" s="75" t="n"/>
      <c r="H207" s="75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</row>
    <row r="208" collapsed="1" ht="18" customHeight="1" s="59">
      <c r="A208" s="77" t="inlineStr">
        <is>
          <t>强化包 第二弹 BOX（简中）</t>
        </is>
      </c>
      <c r="B208" s="77" t="inlineStr">
        <is>
          <t>太阳&amp;月亮 CSM2.5</t>
        </is>
      </c>
      <c r="C208" s="78" t="inlineStr">
        <is>
          <t>强化包(瘦盒)</t>
        </is>
      </c>
      <c r="D208" s="79" t="inlineStr">
        <is>
          <t>原盒</t>
        </is>
      </c>
      <c r="E208" s="78" t="inlineStr">
        <is>
          <t>售罄</t>
        </is>
      </c>
      <c r="F208" s="78" t="n">
        <v>0</v>
      </c>
      <c r="G208" s="78" t="n">
        <v>5500</v>
      </c>
      <c r="H208" s="78" t="n">
        <v>147.56</v>
      </c>
      <c r="I208" s="78" t="inlineStr">
        <is>
          <t>简中</t>
        </is>
      </c>
      <c r="J208" s="78" t="inlineStr">
        <is>
          <t>否</t>
        </is>
      </c>
      <c r="K208" s="78" t="inlineStr">
        <is>
          <t>否</t>
        </is>
      </c>
      <c r="L208" s="78" t="n">
        <v>6</v>
      </c>
      <c r="M208" s="77" t="inlineStr">
        <is>
          <t>/products/sm25-box.webp</t>
        </is>
      </c>
      <c r="N208" s="78" t="n"/>
      <c r="O208" s="78" t="inlineStr">
        <is>
          <t>扩充包</t>
        </is>
      </c>
      <c r="P208" s="77" t="inlineStr">
        <is>
          <t>官网：太阳&amp;月亮 强化包第二弹（CSM2.5）。6张/包×20包/盒。配对补充包：交相辉映 CSM2a/b/c。 | 简中宝可梦 太阳&amp;月亮 强化包 第二弹（CSM2.5C），6张/包 × 20包/盒。</t>
        </is>
      </c>
      <c r="Q208" s="77" t="inlineStr">
        <is>
          <t>cmqukjuk600072odkmua2i3wp</t>
        </is>
      </c>
      <c r="R208" s="77" t="inlineStr">
        <is>
          <t>sm-强化包-第二弹-box-简中</t>
        </is>
      </c>
      <c r="S208" s="78" t="inlineStr">
        <is>
          <t>Pokemon</t>
        </is>
      </c>
      <c r="T208" s="77" t="inlineStr">
        <is>
          <t>https://pimart-card-production.up.railway.app/products/sm-%E5%BC%BA%E5%8C%96%E5%8C%85-%E7%AC%AC%E4%BA%8C%E5%BC%B9-box-%E7%AE%80%E4%B8%AD</t>
        </is>
      </c>
    </row>
    <row r="209" hidden="1" outlineLevel="1" ht="17" customHeight="1" s="59">
      <c r="A209" s="80" t="inlineStr">
        <is>
          <t>强化包 第二弹 BOX（简中）</t>
        </is>
      </c>
      <c r="B209" s="80" t="inlineStr">
        <is>
          <t>太阳&amp;月亮 CSM2.5</t>
        </is>
      </c>
      <c r="C209" s="81" t="inlineStr">
        <is>
          <t>强化包(瘦盒)</t>
        </is>
      </c>
      <c r="D209" s="82" t="inlineStr">
        <is>
          <t>散包</t>
        </is>
      </c>
      <c r="E209" s="81" t="inlineStr">
        <is>
          <t>售罄</t>
        </is>
      </c>
      <c r="F209" s="81" t="n"/>
      <c r="G209" s="81" t="n"/>
      <c r="H209" s="81" t="n">
        <v>147.56</v>
      </c>
      <c r="I209" s="81" t="inlineStr">
        <is>
          <t>简中</t>
        </is>
      </c>
      <c r="J209" s="81" t="inlineStr">
        <is>
          <t>否</t>
        </is>
      </c>
      <c r="K209" s="81" t="inlineStr">
        <is>
          <t>否</t>
        </is>
      </c>
      <c r="L209" s="81" t="n">
        <v>6</v>
      </c>
      <c r="M209" s="80" t="inlineStr">
        <is>
          <t>/products/sm25-box.webp</t>
        </is>
      </c>
      <c r="N209" s="81" t="n"/>
      <c r="O209" s="81" t="inlineStr">
        <is>
          <t>扩充包</t>
        </is>
      </c>
      <c r="P209" s="80" t="inlineStr">
        <is>
          <t>官网：太阳&amp;月亮 强化包第二弹（CSM2.5）。6张/包×20包/盒。配对补充包：交相辉映 CSM2a/b/c。 | 简中宝可梦 太阳&amp;月亮 强化包 第二弹（CSM2.5C），6张/包 × 20包/盒。</t>
        </is>
      </c>
      <c r="Q209" s="80" t="inlineStr">
        <is>
          <t>cmqukjuk600072odkmua2i3wp</t>
        </is>
      </c>
      <c r="R209" s="80" t="inlineStr">
        <is>
          <t>sm-强化包-第二弹-box-简中</t>
        </is>
      </c>
      <c r="S209" s="81" t="inlineStr">
        <is>
          <t>Pokemon</t>
        </is>
      </c>
      <c r="T209" s="80" t="inlineStr">
        <is>
          <t>https://pimart-card-production.up.railway.app/products/sm-%E5%BC%BA%E5%8C%96%E5%8C%85-%E7%AC%AC%E4%BA%8C%E5%BC%B9-box-%E7%AE%80%E4%B8%AD</t>
        </is>
      </c>
    </row>
    <row r="210" ht="6" customFormat="1" customHeight="1" s="69">
      <c r="A210" s="85" t="n"/>
      <c r="B210" s="86" t="n"/>
      <c r="C210" s="87" t="n"/>
      <c r="D210" s="87" t="n"/>
      <c r="E210" s="87" t="n"/>
      <c r="F210" s="87" t="n"/>
      <c r="G210" s="87" t="n"/>
      <c r="H210" s="87" t="n"/>
      <c r="I210" s="87" t="n"/>
      <c r="J210" s="87" t="n"/>
      <c r="K210" s="87" t="n"/>
      <c r="L210" s="87" t="n"/>
      <c r="M210" s="86" t="n"/>
      <c r="N210" s="87" t="n"/>
      <c r="O210" s="87" t="n"/>
      <c r="P210" s="86" t="n"/>
      <c r="Q210" s="86" t="n"/>
      <c r="R210" s="86" t="n"/>
      <c r="S210" s="87" t="n"/>
      <c r="T210" s="86" t="n"/>
    </row>
    <row r="211" hidden="1" outlineLevel="1" ht="17" customHeight="1" s="59">
      <c r="A211" s="80" t="inlineStr">
        <is>
          <t>强化包 第二弹 BOX（简中）</t>
        </is>
      </c>
      <c r="B211" s="80" t="inlineStr">
        <is>
          <t>太阳&amp;月亮 CSM2.5</t>
        </is>
      </c>
      <c r="C211" s="81" t="inlineStr">
        <is>
          <t>强化包(瘦盒)</t>
        </is>
      </c>
      <c r="D211" s="82" t="inlineStr">
        <is>
          <t>原箱</t>
        </is>
      </c>
      <c r="E211" s="81" t="inlineStr">
        <is>
          <t>售罄</t>
        </is>
      </c>
      <c r="F211" s="81" t="n"/>
      <c r="G211" s="81" t="n"/>
      <c r="H211" s="81" t="n">
        <v>147.56</v>
      </c>
      <c r="I211" s="81" t="inlineStr">
        <is>
          <t>简中</t>
        </is>
      </c>
      <c r="J211" s="81" t="inlineStr">
        <is>
          <t>否</t>
        </is>
      </c>
      <c r="K211" s="81" t="inlineStr">
        <is>
          <t>否</t>
        </is>
      </c>
      <c r="L211" s="81" t="n">
        <v>6</v>
      </c>
      <c r="M211" s="80" t="inlineStr">
        <is>
          <t>/products/sm25-box.webp</t>
        </is>
      </c>
      <c r="N211" s="81" t="n"/>
      <c r="O211" s="81" t="inlineStr">
        <is>
          <t>扩充包</t>
        </is>
      </c>
      <c r="P211" s="80" t="inlineStr">
        <is>
          <t>官网：太阳&amp;月亮 强化包第二弹（CSM2.5）。6张/包×20包/盒。配对补充包：交相辉映 CSM2a/b/c。 | 简中宝可梦 太阳&amp;月亮 强化包 第二弹（CSM2.5C），6张/包 × 20包/盒。</t>
        </is>
      </c>
      <c r="Q211" s="80" t="inlineStr">
        <is>
          <t>cmqukjuk600072odkmua2i3wp</t>
        </is>
      </c>
      <c r="R211" s="80" t="inlineStr">
        <is>
          <t>sm-强化包-第二弹-box-简中</t>
        </is>
      </c>
      <c r="S211" s="81" t="inlineStr">
        <is>
          <t>Pokemon</t>
        </is>
      </c>
      <c r="T211" s="80" t="inlineStr">
        <is>
          <t>https://pimart-card-production.up.railway.app/products/sm-%E5%BC%BA%E5%8C%96%E5%8C%85-%E7%AC%AC%E4%BA%8C%E5%BC%B9-box-%E7%AE%80%E4%B8%AD</t>
        </is>
      </c>
    </row>
    <row r="212" ht="18" customHeight="1" s="59">
      <c r="A212" s="83" t="inlineStr">
        <is>
          <t>补充包 交相辉映 唤 BOX（简中）</t>
        </is>
      </c>
      <c r="B212" s="83" t="inlineStr">
        <is>
          <t>太阳&amp;月亮 CSM2c</t>
        </is>
      </c>
      <c r="C212" s="84" t="inlineStr">
        <is>
          <t>补充包(肥盒)</t>
        </is>
      </c>
      <c r="D212" s="79" t="inlineStr">
        <is>
          <t>原盒</t>
        </is>
      </c>
      <c r="E212" s="84" t="inlineStr">
        <is>
          <t>售罄</t>
        </is>
      </c>
      <c r="F212" s="84" t="n">
        <v>0</v>
      </c>
      <c r="G212" s="84" t="n">
        <v>7000</v>
      </c>
      <c r="H212" s="84" t="n">
        <v>187.8</v>
      </c>
      <c r="I212" s="84" t="inlineStr">
        <is>
          <t>简中</t>
        </is>
      </c>
      <c r="J212" s="84" t="inlineStr">
        <is>
          <t>否</t>
        </is>
      </c>
      <c r="K212" s="84" t="inlineStr">
        <is>
          <t>否</t>
        </is>
      </c>
      <c r="L212" s="84" t="n">
        <v>6</v>
      </c>
      <c r="M212" s="83" t="inlineStr">
        <is>
          <t>/products/csm2c-box.png</t>
        </is>
      </c>
      <c r="N212" s="84" t="n"/>
      <c r="O212" s="84" t="inlineStr">
        <is>
          <t>扩充包</t>
        </is>
      </c>
      <c r="P212" s="83" t="inlineStr">
        <is>
          <t>简中宝可梦 太阳&amp;月亮 交相辉映 唤（CSM2cC），2023年1月18日发售。</t>
        </is>
      </c>
      <c r="Q212" s="83" t="inlineStr">
        <is>
          <t>cmqukjuk100062odk8rx0gj2d</t>
        </is>
      </c>
      <c r="R212" s="83" t="inlineStr">
        <is>
          <t>交相辉映-唤-box-简中</t>
        </is>
      </c>
      <c r="S212" s="84" t="inlineStr">
        <is>
          <t>Pokemon</t>
        </is>
      </c>
      <c r="T212" s="83" t="inlineStr">
        <is>
          <t>https://pimart-card-production.up.railway.app/products/%E4%BA%A4%E7%9B%B8%E8%BE%89%E6%98%A0-%E5%94%A4-box-%E7%AE%80%E4%B8%AD</t>
        </is>
      </c>
    </row>
    <row r="213" hidden="1" outlineLevel="1" collapsed="1" ht="17" customHeight="1" s="59">
      <c r="A213" s="80" t="inlineStr">
        <is>
          <t>补充包 交相辉映 唤 BOX（简中）</t>
        </is>
      </c>
      <c r="B213" s="80" t="inlineStr">
        <is>
          <t>太阳&amp;月亮 CSM2c</t>
        </is>
      </c>
      <c r="C213" s="81" t="inlineStr">
        <is>
          <t>补充包(肥盒)</t>
        </is>
      </c>
      <c r="D213" s="82" t="inlineStr">
        <is>
          <t>散包</t>
        </is>
      </c>
      <c r="E213" s="81" t="inlineStr">
        <is>
          <t>售罄</t>
        </is>
      </c>
      <c r="F213" s="81" t="n"/>
      <c r="G213" s="81" t="n"/>
      <c r="H213" s="81" t="n">
        <v>187.8</v>
      </c>
      <c r="I213" s="81" t="inlineStr">
        <is>
          <t>简中</t>
        </is>
      </c>
      <c r="J213" s="81" t="inlineStr">
        <is>
          <t>否</t>
        </is>
      </c>
      <c r="K213" s="81" t="inlineStr">
        <is>
          <t>否</t>
        </is>
      </c>
      <c r="L213" s="81" t="n">
        <v>6</v>
      </c>
      <c r="M213" s="80" t="inlineStr">
        <is>
          <t>/products/csm2c-box.png</t>
        </is>
      </c>
      <c r="N213" s="81" t="n"/>
      <c r="O213" s="81" t="inlineStr">
        <is>
          <t>扩充包</t>
        </is>
      </c>
      <c r="P213" s="80" t="inlineStr">
        <is>
          <t>简中宝可梦 太阳&amp;月亮 交相辉映 唤（CSM2cC），2023年1月18日发售。</t>
        </is>
      </c>
      <c r="Q213" s="80" t="inlineStr">
        <is>
          <t>cmqukjuk100062odk8rx0gj2d</t>
        </is>
      </c>
      <c r="R213" s="80" t="inlineStr">
        <is>
          <t>交相辉映-唤-box-简中</t>
        </is>
      </c>
      <c r="S213" s="81" t="inlineStr">
        <is>
          <t>Pokemon</t>
        </is>
      </c>
      <c r="T213" s="80" t="inlineStr">
        <is>
          <t>https://pimart-card-production.up.railway.app/products/%E4%BA%A4%E7%9B%B8%E8%BE%89%E6%98%A0-%E5%94%A4-box-%E7%AE%80%E4%B8%AD</t>
        </is>
      </c>
    </row>
    <row r="214" hidden="1" outlineLevel="1" ht="17" customHeight="1" s="59">
      <c r="A214" s="80" t="inlineStr">
        <is>
          <t>补充包 交相辉映 唤 BOX（简中）</t>
        </is>
      </c>
      <c r="B214" s="80" t="inlineStr">
        <is>
          <t>太阳&amp;月亮 CSM2c</t>
        </is>
      </c>
      <c r="C214" s="81" t="inlineStr">
        <is>
          <t>补充包(肥盒)</t>
        </is>
      </c>
      <c r="D214" s="82" t="inlineStr">
        <is>
          <t>原箱</t>
        </is>
      </c>
      <c r="E214" s="81" t="inlineStr">
        <is>
          <t>售罄</t>
        </is>
      </c>
      <c r="F214" s="81" t="n"/>
      <c r="G214" s="81" t="n"/>
      <c r="H214" s="81" t="n">
        <v>187.8</v>
      </c>
      <c r="I214" s="81" t="inlineStr">
        <is>
          <t>简中</t>
        </is>
      </c>
      <c r="J214" s="81" t="inlineStr">
        <is>
          <t>否</t>
        </is>
      </c>
      <c r="K214" s="81" t="inlineStr">
        <is>
          <t>否</t>
        </is>
      </c>
      <c r="L214" s="81" t="n">
        <v>6</v>
      </c>
      <c r="M214" s="80" t="inlineStr">
        <is>
          <t>/products/csm2c-box.png</t>
        </is>
      </c>
      <c r="N214" s="81" t="n"/>
      <c r="O214" s="81" t="inlineStr">
        <is>
          <t>扩充包</t>
        </is>
      </c>
      <c r="P214" s="80" t="inlineStr">
        <is>
          <t>简中宝可梦 太阳&amp;月亮 交相辉映 唤（CSM2cC），2023年1月18日发售。</t>
        </is>
      </c>
      <c r="Q214" s="80" t="inlineStr">
        <is>
          <t>cmqukjuk100062odk8rx0gj2d</t>
        </is>
      </c>
      <c r="R214" s="80" t="inlineStr">
        <is>
          <t>交相辉映-唤-box-简中</t>
        </is>
      </c>
      <c r="S214" s="81" t="inlineStr">
        <is>
          <t>Pokemon</t>
        </is>
      </c>
      <c r="T214" s="80" t="inlineStr">
        <is>
          <t>https://pimart-card-production.up.railway.app/products/%E4%BA%A4%E7%9B%B8%E8%BE%89%E6%98%A0-%E5%94%A4-box-%E7%AE%80%E4%B8%AD</t>
        </is>
      </c>
    </row>
    <row r="215" collapsed="1" ht="18" customHeight="1" s="59">
      <c r="A215" s="77" t="inlineStr">
        <is>
          <t>补充包 交相辉映 沐 BOX（简中）</t>
        </is>
      </c>
      <c r="B215" s="77" t="inlineStr">
        <is>
          <t>太阳&amp;月亮 CSM2a</t>
        </is>
      </c>
      <c r="C215" s="78" t="inlineStr">
        <is>
          <t>补充包(肥盒)</t>
        </is>
      </c>
      <c r="D215" s="79" t="inlineStr">
        <is>
          <t>原盒</t>
        </is>
      </c>
      <c r="E215" s="78" t="inlineStr">
        <is>
          <t>售罄</t>
        </is>
      </c>
      <c r="F215" s="78" t="n">
        <v>0</v>
      </c>
      <c r="G215" s="78" t="n">
        <v>7000</v>
      </c>
      <c r="H215" s="78" t="n">
        <v>187.8</v>
      </c>
      <c r="I215" s="78" t="inlineStr">
        <is>
          <t>简中</t>
        </is>
      </c>
      <c r="J215" s="78" t="inlineStr">
        <is>
          <t>否</t>
        </is>
      </c>
      <c r="K215" s="78" t="inlineStr">
        <is>
          <t>否</t>
        </is>
      </c>
      <c r="L215" s="78" t="n">
        <v>6</v>
      </c>
      <c r="M215" s="77" t="inlineStr">
        <is>
          <t>/products/csm2a-box.png</t>
        </is>
      </c>
      <c r="N215" s="78" t="n"/>
      <c r="O215" s="78" t="inlineStr">
        <is>
          <t>扩充包</t>
        </is>
      </c>
      <c r="P215" s="77" t="inlineStr">
        <is>
          <t>简中宝可梦 太阳&amp;月亮 交相辉映 沐（CSM2aC），2023年1月18日发售。</t>
        </is>
      </c>
      <c r="Q215" s="77" t="inlineStr">
        <is>
          <t>cmqukjujr00042odkmkyf5he3</t>
        </is>
      </c>
      <c r="R215" s="77" t="inlineStr">
        <is>
          <t>交相辉映-沐-box-简中</t>
        </is>
      </c>
      <c r="S215" s="78" t="inlineStr">
        <is>
          <t>Pokemon</t>
        </is>
      </c>
      <c r="T215" s="77" t="inlineStr">
        <is>
          <t>https://pimart-card-production.up.railway.app/products/%E4%BA%A4%E7%9B%B8%E8%BE%89%E6%98%A0-%E6%B2%90-box-%E7%AE%80%E4%B8%AD</t>
        </is>
      </c>
    </row>
    <row r="216" hidden="1" outlineLevel="1" collapsed="1" ht="17" customHeight="1" s="59">
      <c r="A216" s="80" t="inlineStr">
        <is>
          <t>补充包 交相辉映 沐 BOX（简中）</t>
        </is>
      </c>
      <c r="B216" s="80" t="inlineStr">
        <is>
          <t>太阳&amp;月亮 CSM2a</t>
        </is>
      </c>
      <c r="C216" s="81" t="inlineStr">
        <is>
          <t>补充包(肥盒)</t>
        </is>
      </c>
      <c r="D216" s="82" t="inlineStr">
        <is>
          <t>散包</t>
        </is>
      </c>
      <c r="E216" s="81" t="inlineStr">
        <is>
          <t>售罄</t>
        </is>
      </c>
      <c r="F216" s="81" t="n"/>
      <c r="G216" s="81" t="n"/>
      <c r="H216" s="81" t="n">
        <v>187.8</v>
      </c>
      <c r="I216" s="81" t="inlineStr">
        <is>
          <t>简中</t>
        </is>
      </c>
      <c r="J216" s="81" t="inlineStr">
        <is>
          <t>否</t>
        </is>
      </c>
      <c r="K216" s="81" t="inlineStr">
        <is>
          <t>否</t>
        </is>
      </c>
      <c r="L216" s="81" t="n">
        <v>6</v>
      </c>
      <c r="M216" s="80" t="inlineStr">
        <is>
          <t>/products/csm2a-box.png</t>
        </is>
      </c>
      <c r="N216" s="81" t="n"/>
      <c r="O216" s="81" t="inlineStr">
        <is>
          <t>扩充包</t>
        </is>
      </c>
      <c r="P216" s="80" t="inlineStr">
        <is>
          <t>简中宝可梦 太阳&amp;月亮 交相辉映 沐（CSM2aC），2023年1月18日发售。</t>
        </is>
      </c>
      <c r="Q216" s="80" t="inlineStr">
        <is>
          <t>cmqukjujr00042odkmkyf5he3</t>
        </is>
      </c>
      <c r="R216" s="80" t="inlineStr">
        <is>
          <t>交相辉映-沐-box-简中</t>
        </is>
      </c>
      <c r="S216" s="81" t="inlineStr">
        <is>
          <t>Pokemon</t>
        </is>
      </c>
      <c r="T216" s="80" t="inlineStr">
        <is>
          <t>https://pimart-card-production.up.railway.app/products/%E4%BA%A4%E7%9B%B8%E8%BE%89%E6%98%A0-%E6%B2%90-box-%E7%AE%80%E4%B8%AD</t>
        </is>
      </c>
    </row>
    <row r="217" hidden="1" outlineLevel="1" ht="17" customHeight="1" s="59">
      <c r="A217" s="80" t="inlineStr">
        <is>
          <t>补充包 交相辉映 沐 BOX（简中）</t>
        </is>
      </c>
      <c r="B217" s="80" t="inlineStr">
        <is>
          <t>太阳&amp;月亮 CSM2a</t>
        </is>
      </c>
      <c r="C217" s="81" t="inlineStr">
        <is>
          <t>补充包(肥盒)</t>
        </is>
      </c>
      <c r="D217" s="82" t="inlineStr">
        <is>
          <t>原箱</t>
        </is>
      </c>
      <c r="E217" s="81" t="inlineStr">
        <is>
          <t>售罄</t>
        </is>
      </c>
      <c r="F217" s="81" t="n"/>
      <c r="G217" s="81" t="n"/>
      <c r="H217" s="81" t="n">
        <v>187.8</v>
      </c>
      <c r="I217" s="81" t="inlineStr">
        <is>
          <t>简中</t>
        </is>
      </c>
      <c r="J217" s="81" t="inlineStr">
        <is>
          <t>否</t>
        </is>
      </c>
      <c r="K217" s="81" t="inlineStr">
        <is>
          <t>否</t>
        </is>
      </c>
      <c r="L217" s="81" t="n">
        <v>6</v>
      </c>
      <c r="M217" s="80" t="inlineStr">
        <is>
          <t>/products/csm2a-box.png</t>
        </is>
      </c>
      <c r="N217" s="81" t="n"/>
      <c r="O217" s="81" t="inlineStr">
        <is>
          <t>扩充包</t>
        </is>
      </c>
      <c r="P217" s="80" t="inlineStr">
        <is>
          <t>简中宝可梦 太阳&amp;月亮 交相辉映 沐（CSM2aC），2023年1月18日发售。</t>
        </is>
      </c>
      <c r="Q217" s="80" t="inlineStr">
        <is>
          <t>cmqukjujr00042odkmkyf5he3</t>
        </is>
      </c>
      <c r="R217" s="80" t="inlineStr">
        <is>
          <t>交相辉映-沐-box-简中</t>
        </is>
      </c>
      <c r="S217" s="81" t="inlineStr">
        <is>
          <t>Pokemon</t>
        </is>
      </c>
      <c r="T217" s="80" t="inlineStr">
        <is>
          <t>https://pimart-card-production.up.railway.app/products/%E4%BA%A4%E7%9B%B8%E8%BE%89%E6%98%A0-%E6%B2%90-box-%E7%AE%80%E4%B8%AD</t>
        </is>
      </c>
    </row>
    <row r="218" collapsed="1" ht="18" customHeight="1" s="59">
      <c r="A218" s="83" t="inlineStr">
        <is>
          <t>补充包 交相辉映 魁 BOX（简中）</t>
        </is>
      </c>
      <c r="B218" s="83" t="inlineStr">
        <is>
          <t>太阳&amp;月亮 CSM2b</t>
        </is>
      </c>
      <c r="C218" s="84" t="inlineStr">
        <is>
          <t>补充包(肥盒)</t>
        </is>
      </c>
      <c r="D218" s="79" t="inlineStr">
        <is>
          <t>原盒</t>
        </is>
      </c>
      <c r="E218" s="84" t="inlineStr">
        <is>
          <t>售罄</t>
        </is>
      </c>
      <c r="F218" s="84" t="n">
        <v>0</v>
      </c>
      <c r="G218" s="84" t="n">
        <v>7000</v>
      </c>
      <c r="H218" s="84" t="n">
        <v>187.8</v>
      </c>
      <c r="I218" s="84" t="inlineStr">
        <is>
          <t>简中</t>
        </is>
      </c>
      <c r="J218" s="84" t="inlineStr">
        <is>
          <t>否</t>
        </is>
      </c>
      <c r="K218" s="84" t="inlineStr">
        <is>
          <t>否</t>
        </is>
      </c>
      <c r="L218" s="84" t="n">
        <v>6</v>
      </c>
      <c r="M218" s="83" t="inlineStr">
        <is>
          <t>/products/csm2b-box.png</t>
        </is>
      </c>
      <c r="N218" s="84" t="n"/>
      <c r="O218" s="84" t="inlineStr">
        <is>
          <t>扩充包</t>
        </is>
      </c>
      <c r="P218" s="83" t="inlineStr">
        <is>
          <t>简中宝可梦 太阳&amp;月亮 交相辉映 魁（CSM2bC），2023年1月18日发售。</t>
        </is>
      </c>
      <c r="Q218" s="83" t="inlineStr">
        <is>
          <t>cmqukjujw00052odkboqsudm8</t>
        </is>
      </c>
      <c r="R218" s="83" t="inlineStr">
        <is>
          <t>交相辉映-魁-box-简中</t>
        </is>
      </c>
      <c r="S218" s="84" t="inlineStr">
        <is>
          <t>Pokemon</t>
        </is>
      </c>
      <c r="T218" s="83" t="inlineStr">
        <is>
          <t>https://pimart-card-production.up.railway.app/products/%E4%BA%A4%E7%9B%B8%E8%BE%89%E6%98%A0-%E9%AD%81-box-%E7%AE%80%E4%B8%AD</t>
        </is>
      </c>
    </row>
    <row r="219" hidden="1" outlineLevel="1" ht="17" customHeight="1" s="59">
      <c r="A219" s="80" t="inlineStr">
        <is>
          <t>补充包 交相辉映 魁 BOX（简中）</t>
        </is>
      </c>
      <c r="B219" s="80" t="inlineStr">
        <is>
          <t>太阳&amp;月亮 CSM2b</t>
        </is>
      </c>
      <c r="C219" s="81" t="inlineStr">
        <is>
          <t>补充包(肥盒)</t>
        </is>
      </c>
      <c r="D219" s="82" t="inlineStr">
        <is>
          <t>散包</t>
        </is>
      </c>
      <c r="E219" s="81" t="inlineStr">
        <is>
          <t>售罄</t>
        </is>
      </c>
      <c r="F219" s="81" t="n"/>
      <c r="G219" s="81" t="n"/>
      <c r="H219" s="81" t="n">
        <v>187.8</v>
      </c>
      <c r="I219" s="81" t="inlineStr">
        <is>
          <t>简中</t>
        </is>
      </c>
      <c r="J219" s="81" t="inlineStr">
        <is>
          <t>否</t>
        </is>
      </c>
      <c r="K219" s="81" t="inlineStr">
        <is>
          <t>否</t>
        </is>
      </c>
      <c r="L219" s="81" t="n">
        <v>6</v>
      </c>
      <c r="M219" s="80" t="inlineStr">
        <is>
          <t>/products/csm2b-box.png</t>
        </is>
      </c>
      <c r="N219" s="81" t="n"/>
      <c r="O219" s="81" t="inlineStr">
        <is>
          <t>扩充包</t>
        </is>
      </c>
      <c r="P219" s="80" t="inlineStr">
        <is>
          <t>简中宝可梦 太阳&amp;月亮 交相辉映 魁（CSM2bC），2023年1月18日发售。</t>
        </is>
      </c>
      <c r="Q219" s="80" t="inlineStr">
        <is>
          <t>cmqukjujw00052odkboqsudm8</t>
        </is>
      </c>
      <c r="R219" s="80" t="inlineStr">
        <is>
          <t>交相辉映-魁-box-简中</t>
        </is>
      </c>
      <c r="S219" s="81" t="inlineStr">
        <is>
          <t>Pokemon</t>
        </is>
      </c>
      <c r="T219" s="80" t="inlineStr">
        <is>
          <t>https://pimart-card-production.up.railway.app/products/%E4%BA%A4%E7%9B%B8%E8%BE%89%E6%98%A0-%E9%AD%81-box-%E7%AE%80%E4%B8%AD</t>
        </is>
      </c>
    </row>
    <row r="220" hidden="1" outlineLevel="1" ht="17" customHeight="1" s="59">
      <c r="A220" s="80" t="inlineStr">
        <is>
          <t>补充包 交相辉映 魁 BOX（简中）</t>
        </is>
      </c>
      <c r="B220" s="80" t="inlineStr">
        <is>
          <t>太阳&amp;月亮 CSM2b</t>
        </is>
      </c>
      <c r="C220" s="81" t="inlineStr">
        <is>
          <t>补充包(肥盒)</t>
        </is>
      </c>
      <c r="D220" s="82" t="inlineStr">
        <is>
          <t>原箱</t>
        </is>
      </c>
      <c r="E220" s="81" t="inlineStr">
        <is>
          <t>售罄</t>
        </is>
      </c>
      <c r="F220" s="81" t="n"/>
      <c r="G220" s="81" t="n"/>
      <c r="H220" s="81" t="n">
        <v>187.8</v>
      </c>
      <c r="I220" s="81" t="inlineStr">
        <is>
          <t>简中</t>
        </is>
      </c>
      <c r="J220" s="81" t="inlineStr">
        <is>
          <t>否</t>
        </is>
      </c>
      <c r="K220" s="81" t="inlineStr">
        <is>
          <t>否</t>
        </is>
      </c>
      <c r="L220" s="81" t="n">
        <v>6</v>
      </c>
      <c r="M220" s="80" t="inlineStr">
        <is>
          <t>/products/csm2b-box.png</t>
        </is>
      </c>
      <c r="N220" s="81" t="n"/>
      <c r="O220" s="81" t="inlineStr">
        <is>
          <t>扩充包</t>
        </is>
      </c>
      <c r="P220" s="80" t="inlineStr">
        <is>
          <t>简中宝可梦 太阳&amp;月亮 交相辉映 魁（CSM2bC），2023年1月18日发售。</t>
        </is>
      </c>
      <c r="Q220" s="80" t="inlineStr">
        <is>
          <t>cmqukjujw00052odkboqsudm8</t>
        </is>
      </c>
      <c r="R220" s="80" t="inlineStr">
        <is>
          <t>交相辉映-魁-box-简中</t>
        </is>
      </c>
      <c r="S220" s="81" t="inlineStr">
        <is>
          <t>Pokemon</t>
        </is>
      </c>
      <c r="T220" s="80" t="inlineStr">
        <is>
          <t>https://pimart-card-production.up.railway.app/products/%E4%BA%A4%E7%9B%B8%E8%BE%89%E6%98%A0-%E9%AD%81-box-%E7%AE%80%E4%B8%AD</t>
        </is>
      </c>
    </row>
    <row r="221" ht="18" customHeight="1" s="59">
      <c r="A221" s="76" t="inlineStr">
        <is>
          <t xml:space="preserve">  第1弹</t>
        </is>
      </c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</row>
    <row r="222" collapsed="1" ht="18" customHeight="1" s="59">
      <c r="A222" s="77" t="inlineStr">
        <is>
          <t>强化包 第一弹 BOX（简中）</t>
        </is>
      </c>
      <c r="B222" s="77" t="inlineStr">
        <is>
          <t>太阳&amp;月亮 CSM1.5</t>
        </is>
      </c>
      <c r="C222" s="78" t="inlineStr">
        <is>
          <t>强化包(瘦盒)</t>
        </is>
      </c>
      <c r="D222" s="79" t="inlineStr">
        <is>
          <t>原盒</t>
        </is>
      </c>
      <c r="E222" s="78" t="inlineStr">
        <is>
          <t>售罄</t>
        </is>
      </c>
      <c r="F222" s="78" t="n">
        <v>0</v>
      </c>
      <c r="G222" s="78" t="n">
        <v>5500</v>
      </c>
      <c r="H222" s="78" t="n">
        <v>147.56</v>
      </c>
      <c r="I222" s="78" t="inlineStr">
        <is>
          <t>简中</t>
        </is>
      </c>
      <c r="J222" s="78" t="inlineStr">
        <is>
          <t>否</t>
        </is>
      </c>
      <c r="K222" s="78" t="inlineStr">
        <is>
          <t>否</t>
        </is>
      </c>
      <c r="L222" s="78" t="n">
        <v>6</v>
      </c>
      <c r="M222" s="77" t="inlineStr">
        <is>
          <t>/products/sm15-box.png</t>
        </is>
      </c>
      <c r="N222" s="78" t="n"/>
      <c r="O222" s="78" t="inlineStr">
        <is>
          <t>扩充包</t>
        </is>
      </c>
      <c r="P222" s="77" t="inlineStr">
        <is>
          <t>官网：太阳&amp;月亮 强化包第一弹（CSM1.5）。6张/包×20包/盒。配对补充包：横空出世 CSM1a/b/c。 | 简中宝可梦 太阳&amp;月亮 强化包 第一弹（CSM1.5C），6张/包 × 20包/盒。</t>
        </is>
      </c>
      <c r="Q222" s="77" t="inlineStr">
        <is>
          <t>cmqukjujm00032odkv99g112x</t>
        </is>
      </c>
      <c r="R222" s="77" t="inlineStr">
        <is>
          <t>sm-强化包-第一弹-box-简中</t>
        </is>
      </c>
      <c r="S222" s="78" t="inlineStr">
        <is>
          <t>Pokemon</t>
        </is>
      </c>
      <c r="T222" s="77" t="inlineStr">
        <is>
          <t>https://pimart-card-production.up.railway.app/products/sm-%E5%BC%BA%E5%8C%96%E5%8C%85-%E7%AC%AC%E4%B8%80%E5%BC%B9-box-%E7%AE%80%E4%B8%AD</t>
        </is>
      </c>
    </row>
    <row r="223" hidden="1" outlineLevel="1" ht="17" customHeight="1" s="59">
      <c r="A223" s="80" t="inlineStr">
        <is>
          <t>强化包 第一弹 BOX（简中）</t>
        </is>
      </c>
      <c r="B223" s="80" t="inlineStr">
        <is>
          <t>太阳&amp;月亮 CSM1.5</t>
        </is>
      </c>
      <c r="C223" s="81" t="inlineStr">
        <is>
          <t>强化包(瘦盒)</t>
        </is>
      </c>
      <c r="D223" s="82" t="inlineStr">
        <is>
          <t>散包</t>
        </is>
      </c>
      <c r="E223" s="81" t="inlineStr">
        <is>
          <t>售罄</t>
        </is>
      </c>
      <c r="F223" s="81" t="n">
        <v>0</v>
      </c>
      <c r="G223" s="81" t="n"/>
      <c r="H223" s="81" t="n"/>
      <c r="I223" s="81" t="n"/>
      <c r="J223" s="81" t="n"/>
      <c r="K223" s="81" t="n"/>
      <c r="L223" s="81" t="n"/>
      <c r="M223" s="80" t="inlineStr">
        <is>
          <t>/products/sm15-box.png</t>
        </is>
      </c>
      <c r="N223" s="81" t="n"/>
      <c r="O223" s="81" t="inlineStr">
        <is>
          <t>扩充包</t>
        </is>
      </c>
      <c r="P223" s="80" t="inlineStr">
        <is>
          <t>官网：太阳&amp;月亮 强化包第一弹（CSM1.5）。6张/包×20包/盒。配对补充包：横空出世 CSM1a/b/c。 | 简中宝可梦 太阳&amp;月亮 强化包 第一弹（CSM1.5C），6张/包 × 20包/盒。</t>
        </is>
      </c>
      <c r="Q223" s="80" t="inlineStr">
        <is>
          <t>cmqukjujm00032odkv99g112x</t>
        </is>
      </c>
      <c r="R223" s="80" t="inlineStr">
        <is>
          <t>sm-强化包-第一弹-box-简中</t>
        </is>
      </c>
      <c r="S223" s="81" t="inlineStr">
        <is>
          <t>Pokemon</t>
        </is>
      </c>
      <c r="T223" s="80" t="inlineStr">
        <is>
          <t>https://pimart-card-production.up.railway.app/products/sm-%E5%BC%BA%E5%8C%96%E5%8C%85-%E7%AC%AC%E4%B8%80%E5%BC%B9-box-%E7%AE%80%E4%B8%AD</t>
        </is>
      </c>
    </row>
    <row r="224" hidden="1" outlineLevel="1" ht="17" customHeight="1" s="59">
      <c r="A224" s="80" t="inlineStr">
        <is>
          <t>强化包 第一弹 BOX（简中）</t>
        </is>
      </c>
      <c r="B224" s="80" t="inlineStr">
        <is>
          <t>太阳&amp;月亮 CSM1.5</t>
        </is>
      </c>
      <c r="C224" s="81" t="inlineStr">
        <is>
          <t>强化包(瘦盒)</t>
        </is>
      </c>
      <c r="D224" s="82" t="inlineStr">
        <is>
          <t>原箱</t>
        </is>
      </c>
      <c r="E224" s="81" t="inlineStr">
        <is>
          <t>售罄</t>
        </is>
      </c>
      <c r="F224" s="81" t="n">
        <v>0</v>
      </c>
      <c r="G224" s="81" t="n"/>
      <c r="H224" s="81" t="n"/>
      <c r="I224" s="81" t="n"/>
      <c r="J224" s="81" t="n"/>
      <c r="K224" s="81" t="n"/>
      <c r="L224" s="81" t="n"/>
      <c r="M224" s="80" t="inlineStr">
        <is>
          <t>/products/sm15-box.png</t>
        </is>
      </c>
      <c r="N224" s="81" t="n"/>
      <c r="O224" s="81" t="inlineStr">
        <is>
          <t>扩充包</t>
        </is>
      </c>
      <c r="P224" s="80" t="inlineStr">
        <is>
          <t>官网：太阳&amp;月亮 强化包第一弹（CSM1.5）。6张/包×20包/盒。配对补充包：横空出世 CSM1a/b/c。 | 简中宝可梦 太阳&amp;月亮 强化包 第一弹（CSM1.5C），6张/包 × 20包/盒。</t>
        </is>
      </c>
      <c r="Q224" s="80" t="inlineStr">
        <is>
          <t>cmqukjujm00032odkv99g112x</t>
        </is>
      </c>
      <c r="R224" s="80" t="inlineStr">
        <is>
          <t>sm-强化包-第一弹-box-简中</t>
        </is>
      </c>
      <c r="S224" s="81" t="inlineStr">
        <is>
          <t>Pokemon</t>
        </is>
      </c>
      <c r="T224" s="80" t="inlineStr">
        <is>
          <t>https://pimart-card-production.up.railway.app/products/sm-%E5%BC%BA%E5%8C%96%E5%8C%85-%E7%AC%AC%E4%B8%80%E5%BC%B9-box-%E7%AE%80%E4%B8%AD</t>
        </is>
      </c>
    </row>
    <row r="225" collapsed="1" ht="18" customHeight="1" s="59">
      <c r="A225" s="83" t="inlineStr">
        <is>
          <t>补充包 横空出世 泽 BOX（简中）</t>
        </is>
      </c>
      <c r="B225" s="83" t="inlineStr">
        <is>
          <t>太阳&amp;月亮 CSM1c</t>
        </is>
      </c>
      <c r="C225" s="84" t="inlineStr">
        <is>
          <t>补充包(肥盒)</t>
        </is>
      </c>
      <c r="D225" s="79" t="inlineStr">
        <is>
          <t>原盒</t>
        </is>
      </c>
      <c r="E225" s="84" t="inlineStr">
        <is>
          <t>售罄</t>
        </is>
      </c>
      <c r="F225" s="84" t="n">
        <v>0</v>
      </c>
      <c r="G225" s="84" t="n">
        <v>7500</v>
      </c>
      <c r="H225" s="84" t="n">
        <v>201.22</v>
      </c>
      <c r="I225" s="84" t="inlineStr">
        <is>
          <t>简中</t>
        </is>
      </c>
      <c r="J225" s="84" t="inlineStr">
        <is>
          <t>否</t>
        </is>
      </c>
      <c r="K225" s="84" t="inlineStr">
        <is>
          <t>否</t>
        </is>
      </c>
      <c r="L225" s="84" t="n">
        <v>6</v>
      </c>
      <c r="M225" s="83" t="inlineStr">
        <is>
          <t>/products/csm1c-slim.png</t>
        </is>
      </c>
      <c r="N225" s="84" t="n"/>
      <c r="O225" s="84" t="inlineStr">
        <is>
          <t>扩充包</t>
        </is>
      </c>
      <c r="P225" s="83" t="inlineStr">
        <is>
          <t>简中宝可梦 太阳&amp;月亮 横空出世 泽（CSM1cC），2022年10月28日发售，简中初代首发。</t>
        </is>
      </c>
      <c r="Q225" s="83" t="inlineStr">
        <is>
          <t>cmqukjujh00022odkuq74u7u9</t>
        </is>
      </c>
      <c r="R225" s="83" t="inlineStr">
        <is>
          <t>横空出世-泽-box-简中</t>
        </is>
      </c>
      <c r="S225" s="84" t="inlineStr">
        <is>
          <t>Pokemon</t>
        </is>
      </c>
      <c r="T225" s="83" t="inlineStr">
        <is>
          <t>https://pimart-card-production.up.railway.app/products/%E6%A8%AA%E7%A9%BA%E5%87%BA%E4%B8%96-%E6%B3%BD-box-%E7%AE%80%E4%B8%AD</t>
        </is>
      </c>
    </row>
    <row r="226" hidden="1" outlineLevel="1" ht="17" customHeight="1" s="59">
      <c r="A226" s="80" t="inlineStr">
        <is>
          <t>补充包 横空出世 泽 BOX（简中）</t>
        </is>
      </c>
      <c r="B226" s="80" t="inlineStr">
        <is>
          <t>太阳&amp;月亮 CSM1c</t>
        </is>
      </c>
      <c r="C226" s="81" t="inlineStr">
        <is>
          <t>补充包(肥盒)</t>
        </is>
      </c>
      <c r="D226" s="82" t="inlineStr">
        <is>
          <t>散包</t>
        </is>
      </c>
      <c r="E226" s="81" t="inlineStr">
        <is>
          <t>售罄</t>
        </is>
      </c>
      <c r="F226" s="81" t="n"/>
      <c r="G226" s="81" t="n"/>
      <c r="H226" s="81" t="n">
        <v>201.22</v>
      </c>
      <c r="I226" s="81" t="inlineStr">
        <is>
          <t>简中</t>
        </is>
      </c>
      <c r="J226" s="81" t="inlineStr">
        <is>
          <t>否</t>
        </is>
      </c>
      <c r="K226" s="81" t="inlineStr">
        <is>
          <t>否</t>
        </is>
      </c>
      <c r="L226" s="81" t="n">
        <v>6</v>
      </c>
      <c r="M226" s="80" t="inlineStr">
        <is>
          <t>/products/csm1c-slim.png</t>
        </is>
      </c>
      <c r="N226" s="81" t="n"/>
      <c r="O226" s="81" t="inlineStr">
        <is>
          <t>扩充包</t>
        </is>
      </c>
      <c r="P226" s="80" t="inlineStr">
        <is>
          <t>简中宝可梦 太阳&amp;月亮 横空出世 泽（CSM1cC），2022年10月28日发售，简中初代首发。</t>
        </is>
      </c>
      <c r="Q226" s="80" t="inlineStr">
        <is>
          <t>cmqukjujh00022odkuq74u7u9</t>
        </is>
      </c>
      <c r="R226" s="80" t="inlineStr">
        <is>
          <t>横空出世-泽-box-简中</t>
        </is>
      </c>
      <c r="S226" s="81" t="inlineStr">
        <is>
          <t>Pokemon</t>
        </is>
      </c>
      <c r="T226" s="80" t="inlineStr">
        <is>
          <t>https://pimart-card-production.up.railway.app/products/%E6%A8%AA%E7%A9%BA%E5%87%BA%E4%B8%96-%E6%B3%BD-box-%E7%AE%80%E4%B8%AD</t>
        </is>
      </c>
    </row>
    <row r="227" hidden="1" outlineLevel="1" ht="17" customHeight="1" s="59">
      <c r="A227" s="80" t="inlineStr">
        <is>
          <t>补充包 横空出世 泽 BOX（简中）</t>
        </is>
      </c>
      <c r="B227" s="80" t="inlineStr">
        <is>
          <t>太阳&amp;月亮 CSM1c</t>
        </is>
      </c>
      <c r="C227" s="81" t="inlineStr">
        <is>
          <t>补充包(肥盒)</t>
        </is>
      </c>
      <c r="D227" s="82" t="inlineStr">
        <is>
          <t>原箱</t>
        </is>
      </c>
      <c r="E227" s="81" t="inlineStr">
        <is>
          <t>售罄</t>
        </is>
      </c>
      <c r="F227" s="81" t="n"/>
      <c r="G227" s="81" t="n"/>
      <c r="H227" s="81" t="n">
        <v>201.22</v>
      </c>
      <c r="I227" s="81" t="inlineStr">
        <is>
          <t>简中</t>
        </is>
      </c>
      <c r="J227" s="81" t="inlineStr">
        <is>
          <t>否</t>
        </is>
      </c>
      <c r="K227" s="81" t="inlineStr">
        <is>
          <t>否</t>
        </is>
      </c>
      <c r="L227" s="81" t="n">
        <v>6</v>
      </c>
      <c r="M227" s="80" t="inlineStr">
        <is>
          <t>/products/csm1c-slim.png</t>
        </is>
      </c>
      <c r="N227" s="81" t="n"/>
      <c r="O227" s="81" t="inlineStr">
        <is>
          <t>扩充包</t>
        </is>
      </c>
      <c r="P227" s="80" t="inlineStr">
        <is>
          <t>简中宝可梦 太阳&amp;月亮 横空出世 泽（CSM1cC），2022年10月28日发售，简中初代首发。</t>
        </is>
      </c>
      <c r="Q227" s="80" t="inlineStr">
        <is>
          <t>cmqukjujh00022odkuq74u7u9</t>
        </is>
      </c>
      <c r="R227" s="80" t="inlineStr">
        <is>
          <t>横空出世-泽-box-简中</t>
        </is>
      </c>
      <c r="S227" s="81" t="inlineStr">
        <is>
          <t>Pokemon</t>
        </is>
      </c>
      <c r="T227" s="80" t="inlineStr">
        <is>
          <t>https://pimart-card-production.up.railway.app/products/%E6%A8%AA%E7%A9%BA%E5%87%BA%E4%B8%96-%E6%B3%BD-box-%E7%AE%80%E4%B8%AD</t>
        </is>
      </c>
    </row>
    <row r="228" ht="18" customHeight="1" s="59">
      <c r="A228" s="77" t="inlineStr">
        <is>
          <t>补充包 横空出世 苍 BOX（简中）</t>
        </is>
      </c>
      <c r="B228" s="77" t="inlineStr">
        <is>
          <t>太阳&amp;月亮 CSM1b</t>
        </is>
      </c>
      <c r="C228" s="78" t="inlineStr">
        <is>
          <t>补充包(肥盒)</t>
        </is>
      </c>
      <c r="D228" s="79" t="inlineStr">
        <is>
          <t>原盒</t>
        </is>
      </c>
      <c r="E228" s="78" t="inlineStr">
        <is>
          <t>售罄</t>
        </is>
      </c>
      <c r="F228" s="78" t="n">
        <v>0</v>
      </c>
      <c r="G228" s="78" t="n">
        <v>7500</v>
      </c>
      <c r="H228" s="78" t="n">
        <v>201.22</v>
      </c>
      <c r="I228" s="78" t="inlineStr">
        <is>
          <t>简中</t>
        </is>
      </c>
      <c r="J228" s="78" t="inlineStr">
        <is>
          <t>否</t>
        </is>
      </c>
      <c r="K228" s="78" t="inlineStr">
        <is>
          <t>否</t>
        </is>
      </c>
      <c r="L228" s="78" t="n">
        <v>6</v>
      </c>
      <c r="M228" s="77" t="inlineStr">
        <is>
          <t>/products/csm1b-slim.png</t>
        </is>
      </c>
      <c r="N228" s="78" t="n"/>
      <c r="O228" s="78" t="inlineStr">
        <is>
          <t>扩充包</t>
        </is>
      </c>
      <c r="P228" s="77" t="inlineStr">
        <is>
          <t>简中宝可梦 太阳&amp;月亮 横空出世 苍（CSM1bC），2022年10月28日发售，简中初代首发。</t>
        </is>
      </c>
      <c r="Q228" s="77" t="inlineStr">
        <is>
          <t>cmqukjujc00012odkhcev5fkl</t>
        </is>
      </c>
      <c r="R228" s="77" t="inlineStr">
        <is>
          <t>横空出世-苍-box-简中</t>
        </is>
      </c>
      <c r="S228" s="78" t="inlineStr">
        <is>
          <t>Pokemon</t>
        </is>
      </c>
      <c r="T228" s="77" t="inlineStr">
        <is>
          <t>https://pimart-card-production.up.railway.app/products/%E6%A8%AA%E7%A9%BA%E5%87%BA%E4%B8%96-%E8%8B%8D-box-%E7%AE%80%E4%B8%AD</t>
        </is>
      </c>
    </row>
    <row r="229" hidden="1" outlineLevel="1" collapsed="1" ht="17" customHeight="1" s="59">
      <c r="A229" s="80" t="inlineStr">
        <is>
          <t>补充包 横空出世 苍 BOX（简中）</t>
        </is>
      </c>
      <c r="B229" s="80" t="inlineStr">
        <is>
          <t>太阳&amp;月亮 CSM1b</t>
        </is>
      </c>
      <c r="C229" s="81" t="inlineStr">
        <is>
          <t>补充包(肥盒)</t>
        </is>
      </c>
      <c r="D229" s="82" t="inlineStr">
        <is>
          <t>散包</t>
        </is>
      </c>
      <c r="E229" s="81" t="inlineStr">
        <is>
          <t>售罄</t>
        </is>
      </c>
      <c r="F229" s="81" t="n"/>
      <c r="G229" s="81" t="n"/>
      <c r="H229" s="81" t="n">
        <v>201.22</v>
      </c>
      <c r="I229" s="81" t="inlineStr">
        <is>
          <t>简中</t>
        </is>
      </c>
      <c r="J229" s="81" t="inlineStr">
        <is>
          <t>否</t>
        </is>
      </c>
      <c r="K229" s="81" t="inlineStr">
        <is>
          <t>否</t>
        </is>
      </c>
      <c r="L229" s="81" t="n">
        <v>6</v>
      </c>
      <c r="M229" s="80" t="inlineStr">
        <is>
          <t>/products/csm1b-slim.png</t>
        </is>
      </c>
      <c r="N229" s="81" t="n"/>
      <c r="O229" s="81" t="inlineStr">
        <is>
          <t>扩充包</t>
        </is>
      </c>
      <c r="P229" s="80" t="inlineStr">
        <is>
          <t>简中宝可梦 太阳&amp;月亮 横空出世 苍（CSM1bC），2022年10月28日发售，简中初代首发。</t>
        </is>
      </c>
      <c r="Q229" s="80" t="inlineStr">
        <is>
          <t>cmqukjujc00012odkhcev5fkl</t>
        </is>
      </c>
      <c r="R229" s="80" t="inlineStr">
        <is>
          <t>横空出世-苍-box-简中</t>
        </is>
      </c>
      <c r="S229" s="81" t="inlineStr">
        <is>
          <t>Pokemon</t>
        </is>
      </c>
      <c r="T229" s="80" t="inlineStr">
        <is>
          <t>https://pimart-card-production.up.railway.app/products/%E6%A8%AA%E7%A9%BA%E5%87%BA%E4%B8%96-%E8%8B%8D-box-%E7%AE%80%E4%B8%AD</t>
        </is>
      </c>
    </row>
    <row r="230" hidden="1" outlineLevel="1" ht="17" customHeight="1" s="59">
      <c r="A230" s="80" t="inlineStr">
        <is>
          <t>补充包 横空出世 苍 BOX（简中）</t>
        </is>
      </c>
      <c r="B230" s="80" t="inlineStr">
        <is>
          <t>太阳&amp;月亮 CSM1b</t>
        </is>
      </c>
      <c r="C230" s="81" t="inlineStr">
        <is>
          <t>补充包(肥盒)</t>
        </is>
      </c>
      <c r="D230" s="82" t="inlineStr">
        <is>
          <t>原箱</t>
        </is>
      </c>
      <c r="E230" s="81" t="inlineStr">
        <is>
          <t>售罄</t>
        </is>
      </c>
      <c r="F230" s="81" t="n"/>
      <c r="G230" s="81" t="n"/>
      <c r="H230" s="81" t="n">
        <v>201.22</v>
      </c>
      <c r="I230" s="81" t="inlineStr">
        <is>
          <t>简中</t>
        </is>
      </c>
      <c r="J230" s="81" t="inlineStr">
        <is>
          <t>否</t>
        </is>
      </c>
      <c r="K230" s="81" t="inlineStr">
        <is>
          <t>否</t>
        </is>
      </c>
      <c r="L230" s="81" t="n">
        <v>6</v>
      </c>
      <c r="M230" s="80" t="inlineStr">
        <is>
          <t>/products/csm1b-slim.png</t>
        </is>
      </c>
      <c r="N230" s="81" t="n"/>
      <c r="O230" s="81" t="inlineStr">
        <is>
          <t>扩充包</t>
        </is>
      </c>
      <c r="P230" s="80" t="inlineStr">
        <is>
          <t>简中宝可梦 太阳&amp;月亮 横空出世 苍（CSM1bC），2022年10月28日发售，简中初代首发。</t>
        </is>
      </c>
      <c r="Q230" s="80" t="inlineStr">
        <is>
          <t>cmqukjujc00012odkhcev5fkl</t>
        </is>
      </c>
      <c r="R230" s="80" t="inlineStr">
        <is>
          <t>横空出世-苍-box-简中</t>
        </is>
      </c>
      <c r="S230" s="81" t="inlineStr">
        <is>
          <t>Pokemon</t>
        </is>
      </c>
      <c r="T230" s="80" t="inlineStr">
        <is>
          <t>https://pimart-card-production.up.railway.app/products/%E6%A8%AA%E7%A9%BA%E5%87%BA%E4%B8%96-%E8%8B%8D-box-%E7%AE%80%E4%B8%AD</t>
        </is>
      </c>
    </row>
    <row r="231" ht="18" customHeight="1" s="59">
      <c r="A231" s="83" t="inlineStr">
        <is>
          <t>补充包 横空出世 赫 BOX（简中）</t>
        </is>
      </c>
      <c r="B231" s="83" t="inlineStr">
        <is>
          <t>太阳&amp;月亮 CSM1a</t>
        </is>
      </c>
      <c r="C231" s="84" t="inlineStr">
        <is>
          <t>补充包(肥盒)</t>
        </is>
      </c>
      <c r="D231" s="79" t="inlineStr">
        <is>
          <t>原盒</t>
        </is>
      </c>
      <c r="E231" s="84" t="inlineStr">
        <is>
          <t>售罄</t>
        </is>
      </c>
      <c r="F231" s="84" t="n">
        <v>0</v>
      </c>
      <c r="G231" s="84" t="n"/>
      <c r="H231" s="84" t="n"/>
      <c r="I231" s="84" t="n"/>
      <c r="J231" s="84" t="n"/>
      <c r="K231" s="84" t="n"/>
      <c r="L231" s="84" t="n"/>
      <c r="M231" s="83" t="inlineStr">
        <is>
          <t>/products/csm1a-slim.png</t>
        </is>
      </c>
      <c r="N231" s="84" t="n"/>
      <c r="O231" s="84" t="inlineStr">
        <is>
          <t>扩充包</t>
        </is>
      </c>
      <c r="P231" s="83" t="inlineStr">
        <is>
          <t>简中宝可梦 太阳&amp;月亮 横空出世 赫（CSM1aC），2022年10月28日发售，简中初代首发。</t>
        </is>
      </c>
      <c r="Q231" s="83" t="inlineStr">
        <is>
          <t>cmqukjuj600002odktbbw7h4k</t>
        </is>
      </c>
      <c r="R231" s="83" t="inlineStr">
        <is>
          <t>横空出世-赫-box-简中</t>
        </is>
      </c>
      <c r="S231" s="84" t="inlineStr">
        <is>
          <t>Pokemon</t>
        </is>
      </c>
      <c r="T231" s="83" t="inlineStr">
        <is>
          <t>https://pimart-card-production.up.railway.app/products/%E6%A8%AA%E7%A9%BA%E5%87%BA%E4%B8%96-%E8%B5%AB-box-%E7%AE%80%E4%B8%AD</t>
        </is>
      </c>
    </row>
    <row r="232" hidden="1" outlineLevel="1" collapsed="1" ht="17" customHeight="1" s="59">
      <c r="A232" s="80" t="inlineStr">
        <is>
          <t>补充包 横空出世 赫 BOX（简中）</t>
        </is>
      </c>
      <c r="B232" s="80" t="inlineStr">
        <is>
          <t>太阳&amp;月亮 CSM1a</t>
        </is>
      </c>
      <c r="C232" s="81" t="inlineStr">
        <is>
          <t>补充包(肥盒)</t>
        </is>
      </c>
      <c r="D232" s="82" t="inlineStr">
        <is>
          <t>散包</t>
        </is>
      </c>
      <c r="E232" s="81" t="inlineStr">
        <is>
          <t>售罄</t>
        </is>
      </c>
      <c r="F232" s="81" t="n">
        <v>0</v>
      </c>
      <c r="G232" s="81" t="n"/>
      <c r="H232" s="81" t="n">
        <v>201.22</v>
      </c>
      <c r="I232" s="81" t="inlineStr">
        <is>
          <t>简中</t>
        </is>
      </c>
      <c r="J232" s="81" t="inlineStr">
        <is>
          <t>否</t>
        </is>
      </c>
      <c r="K232" s="81" t="inlineStr">
        <is>
          <t>否</t>
        </is>
      </c>
      <c r="L232" s="81" t="n">
        <v>6</v>
      </c>
      <c r="M232" s="80" t="inlineStr">
        <is>
          <t>/products/csm1a-slim.png</t>
        </is>
      </c>
      <c r="N232" s="81" t="n"/>
      <c r="O232" s="81" t="inlineStr">
        <is>
          <t>扩充包</t>
        </is>
      </c>
      <c r="P232" s="80" t="inlineStr">
        <is>
          <t>简中宝可梦 太阳&amp;月亮 横空出世 赫（CSM1aC），2022年10月28日发售，简中初代首发。</t>
        </is>
      </c>
      <c r="Q232" s="80" t="inlineStr">
        <is>
          <t>cmqukjuj600002odktbbw7h4k</t>
        </is>
      </c>
      <c r="R232" s="80" t="inlineStr">
        <is>
          <t>横空出世-赫-box-简中</t>
        </is>
      </c>
      <c r="S232" s="81" t="inlineStr">
        <is>
          <t>Pokemon</t>
        </is>
      </c>
      <c r="T232" s="80" t="inlineStr">
        <is>
          <t>https://pimart-card-production.up.railway.app/products/%E6%A8%AA%E7%A9%BA%E5%87%BA%E4%B8%96-%E8%B5%AB-box-%E7%AE%80%E4%B8%AD</t>
        </is>
      </c>
    </row>
    <row r="233" hidden="1" outlineLevel="1" ht="17" customHeight="1" s="59">
      <c r="A233" s="80" t="inlineStr">
        <is>
          <t>补充包 横空出世 赫 BOX（简中）</t>
        </is>
      </c>
      <c r="B233" s="80" t="inlineStr">
        <is>
          <t>太阳&amp;月亮 CSM1a</t>
        </is>
      </c>
      <c r="C233" s="81" t="inlineStr">
        <is>
          <t>补充包(肥盒)</t>
        </is>
      </c>
      <c r="D233" s="82" t="inlineStr">
        <is>
          <t>原箱</t>
        </is>
      </c>
      <c r="E233" s="81" t="inlineStr">
        <is>
          <t>售罄</t>
        </is>
      </c>
      <c r="F233" s="81" t="n">
        <v>0</v>
      </c>
      <c r="G233" s="81" t="n"/>
      <c r="H233" s="81" t="n">
        <v>201.22</v>
      </c>
      <c r="I233" s="81" t="inlineStr">
        <is>
          <t>简中</t>
        </is>
      </c>
      <c r="J233" s="81" t="inlineStr">
        <is>
          <t>否</t>
        </is>
      </c>
      <c r="K233" s="81" t="inlineStr">
        <is>
          <t>否</t>
        </is>
      </c>
      <c r="L233" s="81" t="n">
        <v>6</v>
      </c>
      <c r="M233" s="80" t="inlineStr">
        <is>
          <t>/products/csm1a-slim.png</t>
        </is>
      </c>
      <c r="N233" s="81" t="n"/>
      <c r="O233" s="81" t="inlineStr">
        <is>
          <t>扩充包</t>
        </is>
      </c>
      <c r="P233" s="80" t="inlineStr">
        <is>
          <t>简中宝可梦 太阳&amp;月亮 横空出世 赫（CSM1aC），2022年10月28日发售，简中初代首发。</t>
        </is>
      </c>
      <c r="Q233" s="80" t="inlineStr">
        <is>
          <t>cmqukjuj600002odktbbw7h4k</t>
        </is>
      </c>
      <c r="R233" s="80" t="inlineStr">
        <is>
          <t>横空出世-赫-box-简中</t>
        </is>
      </c>
      <c r="S233" s="81" t="inlineStr">
        <is>
          <t>Pokemon</t>
        </is>
      </c>
      <c r="T233" s="80" t="inlineStr">
        <is>
          <t>https://pimart-card-production.up.railway.app/products/%E6%A8%AA%E7%A9%BA%E5%87%BA%E4%B8%96-%E8%B5%AB-box-%E7%AE%80%E4%B8%AD</t>
        </is>
      </c>
    </row>
    <row r="234" ht="6" customHeight="1" s="59"/>
    <row r="235" ht="20" customHeight="1" s="59">
      <c r="A235" s="75" t="inlineStr">
        <is>
          <t>专题 · 礼盒 / 周边（151 / 30周年 / 游历 / 节日）</t>
        </is>
      </c>
      <c r="B235" s="75" t="n"/>
      <c r="C235" s="75" t="n"/>
      <c r="D235" s="75" t="n"/>
      <c r="E235" s="75" t="n"/>
      <c r="F235" s="75" t="n"/>
      <c r="G235" s="75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</row>
    <row r="236" ht="18" customHeight="1" s="59">
      <c r="A236" s="76" t="inlineStr">
        <is>
          <t xml:space="preserve">  收集啦151 · 四弹扩充包（旅→望→惊→聚｜瘦盒优先）</t>
        </is>
      </c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</row>
    <row r="237" ht="18" customHeight="1" s="59">
      <c r="A237" s="76" t="inlineStr">
        <is>
          <t xml:space="preserve">  旅（2025-01-17发售 · 瘦盒5张装 / 肥盒20张装）</t>
        </is>
      </c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</row>
    <row r="238" ht="18" customHeight="1" s="59">
      <c r="A238" s="77" t="inlineStr">
        <is>
          <t>收集啦151 旅 瘦盒 BOX（简中）</t>
        </is>
      </c>
      <c r="B238" s="77" t="inlineStr">
        <is>
          <t>收集啦151 旅</t>
        </is>
      </c>
      <c r="C238" s="78" t="inlineStr">
        <is>
          <t>瘦盒</t>
        </is>
      </c>
      <c r="D238" s="79" t="inlineStr">
        <is>
          <t>原盒</t>
        </is>
      </c>
      <c r="E238" s="78" t="inlineStr">
        <is>
          <t>售罄</t>
        </is>
      </c>
      <c r="F238" s="78" t="n">
        <v>0</v>
      </c>
      <c r="G238" s="78" t="n"/>
      <c r="H238" s="78" t="n"/>
      <c r="I238" s="78" t="n"/>
      <c r="J238" s="78" t="n"/>
      <c r="K238" s="78" t="n"/>
      <c r="L238" s="78" t="n"/>
      <c r="M238" s="77" t="inlineStr">
        <is>
          <t>/products/151c-lv-slim.png</t>
        </is>
      </c>
      <c r="N238" s="78" t="n"/>
      <c r="O238" s="78" t="inlineStr">
        <is>
          <t>扩充包</t>
        </is>
      </c>
      <c r="P238" s="77" t="inlineStr">
        <is>
          <t>收集啦151第1弹（旅）。官网/百科。5张装10元/包，20张装50元/包。集换社名称：收集啦151 旅。 本行=瘦盒（5张装×15包）。价格初填待对照集换社。</t>
        </is>
      </c>
      <c r="Q238" s="77" t="n"/>
      <c r="R238" s="77" t="inlineStr">
        <is>
          <t>收集啦151-旅-slim-box-简中</t>
        </is>
      </c>
      <c r="S238" s="78" t="inlineStr">
        <is>
          <t>Pokemon</t>
        </is>
      </c>
      <c r="T238" s="77" t="n"/>
    </row>
    <row r="239" hidden="1" outlineLevel="1" ht="17" customHeight="1" s="59">
      <c r="A239" s="80" t="inlineStr">
        <is>
          <t>收集啦151 旅 瘦盒 BOX（简中）</t>
        </is>
      </c>
      <c r="B239" s="80" t="inlineStr">
        <is>
          <t>收集啦151 旅</t>
        </is>
      </c>
      <c r="C239" s="81" t="inlineStr">
        <is>
          <t>瘦盒</t>
        </is>
      </c>
      <c r="D239" s="82" t="inlineStr">
        <is>
          <t>散包</t>
        </is>
      </c>
      <c r="E239" s="81" t="inlineStr">
        <is>
          <t>售罄</t>
        </is>
      </c>
      <c r="F239" s="81" t="n">
        <v>0</v>
      </c>
      <c r="G239" s="81" t="n"/>
      <c r="H239" s="81" t="n"/>
      <c r="I239" s="81" t="inlineStr">
        <is>
          <t>简中</t>
        </is>
      </c>
      <c r="J239" s="81" t="inlineStr">
        <is>
          <t>否</t>
        </is>
      </c>
      <c r="K239" s="81" t="inlineStr">
        <is>
          <t>是</t>
        </is>
      </c>
      <c r="L239" s="81" t="n">
        <v>6</v>
      </c>
      <c r="M239" s="80" t="inlineStr">
        <is>
          <t>/products/151c-lv-slim.png</t>
        </is>
      </c>
      <c r="N239" s="81" t="n"/>
      <c r="O239" s="81" t="inlineStr">
        <is>
          <t>扩充包</t>
        </is>
      </c>
      <c r="P239" s="80" t="inlineStr">
        <is>
          <t>收集啦151第1弹（旅）。官网/百科。5张装10元/包，20张装50元/包。集换社名称：收集啦151 旅。 本行=瘦盒（5张装×15包）。价格初填待对照集换社。</t>
        </is>
      </c>
      <c r="Q239" s="80" t="n"/>
      <c r="R239" s="80" t="inlineStr">
        <is>
          <t>收集啦151-旅-slim-box-简中</t>
        </is>
      </c>
      <c r="S239" s="81" t="inlineStr">
        <is>
          <t>Pokemon</t>
        </is>
      </c>
      <c r="T239" s="80" t="n"/>
    </row>
    <row r="240" hidden="1" outlineLevel="1" ht="17" customHeight="1" s="59">
      <c r="A240" s="80" t="inlineStr">
        <is>
          <t>收集啦151 旅 瘦盒 BOX（简中）</t>
        </is>
      </c>
      <c r="B240" s="80" t="inlineStr">
        <is>
          <t>收集啦151 旅</t>
        </is>
      </c>
      <c r="C240" s="81" t="inlineStr">
        <is>
          <t>瘦盒</t>
        </is>
      </c>
      <c r="D240" s="82" t="inlineStr">
        <is>
          <t>原箱</t>
        </is>
      </c>
      <c r="E240" s="81" t="inlineStr">
        <is>
          <t>在售</t>
        </is>
      </c>
      <c r="F240" s="81" t="n">
        <v>0</v>
      </c>
      <c r="G240" s="81" t="n"/>
      <c r="H240" s="81" t="n"/>
      <c r="I240" s="81" t="inlineStr">
        <is>
          <t>简中</t>
        </is>
      </c>
      <c r="J240" s="81" t="inlineStr">
        <is>
          <t>否</t>
        </is>
      </c>
      <c r="K240" s="81" t="inlineStr">
        <is>
          <t>是</t>
        </is>
      </c>
      <c r="L240" s="81" t="n">
        <v>6</v>
      </c>
      <c r="M240" s="80" t="inlineStr">
        <is>
          <t>/products/151c-lv-slim.png</t>
        </is>
      </c>
      <c r="N240" s="81" t="n"/>
      <c r="O240" s="81" t="inlineStr">
        <is>
          <t>扩充包</t>
        </is>
      </c>
      <c r="P240" s="80" t="inlineStr">
        <is>
          <t>收集啦151第1弹（旅）。官网/百科。5张装10元/包，20张装50元/包。集换社名称：收集啦151 旅。 本行=瘦盒（5张装×15包）。价格初填待对照集换社。</t>
        </is>
      </c>
      <c r="Q240" s="80" t="n"/>
      <c r="R240" s="80" t="inlineStr">
        <is>
          <t>收集啦151-旅-slim-box-简中</t>
        </is>
      </c>
      <c r="S240" s="81" t="inlineStr">
        <is>
          <t>Pokemon</t>
        </is>
      </c>
      <c r="T240" s="80" t="n"/>
    </row>
    <row r="241" ht="18" customHeight="1" s="59">
      <c r="A241" s="83" t="inlineStr">
        <is>
          <t>收集啦151 旅 肥盒 BOX（简中）</t>
        </is>
      </c>
      <c r="B241" s="83" t="inlineStr">
        <is>
          <t>收集啦151 旅</t>
        </is>
      </c>
      <c r="C241" s="84" t="inlineStr">
        <is>
          <t>肥盒</t>
        </is>
      </c>
      <c r="D241" s="79" t="inlineStr">
        <is>
          <t>原盒</t>
        </is>
      </c>
      <c r="E241" s="84" t="inlineStr">
        <is>
          <t>在售</t>
        </is>
      </c>
      <c r="F241" s="84" t="n">
        <v>20</v>
      </c>
      <c r="G241" s="84" t="n">
        <v>8500</v>
      </c>
      <c r="H241" s="84" t="n"/>
      <c r="I241" s="84" t="inlineStr">
        <is>
          <t>简中</t>
        </is>
      </c>
      <c r="J241" s="84" t="inlineStr">
        <is>
          <t>否</t>
        </is>
      </c>
      <c r="K241" s="84" t="inlineStr">
        <is>
          <t>否</t>
        </is>
      </c>
      <c r="L241" s="84" t="n">
        <v>6</v>
      </c>
      <c r="M241" s="83" t="inlineStr">
        <is>
          <t>/products/151c-lv-fat.png</t>
        </is>
      </c>
      <c r="N241" s="84" t="n"/>
      <c r="O241" s="84" t="inlineStr">
        <is>
          <t>扩充包</t>
        </is>
      </c>
      <c r="P241" s="83" t="inlineStr">
        <is>
          <t>收集啦151第1弹（旅）。官网/百科。5张装10元/包，20张装50元/包。集换社名称：收集啦151 旅。 本行=肥盒（20张装×6包）。价格初填待对照集换社。</t>
        </is>
      </c>
      <c r="Q241" s="83" t="n"/>
      <c r="R241" s="83" t="inlineStr">
        <is>
          <t>收集啦151-旅-fat-box-简中</t>
        </is>
      </c>
      <c r="S241" s="84" t="inlineStr">
        <is>
          <t>Pokemon</t>
        </is>
      </c>
      <c r="T241" s="83" t="n"/>
    </row>
    <row r="242" hidden="1" outlineLevel="1" ht="17" customHeight="1" s="59">
      <c r="A242" s="80" t="inlineStr">
        <is>
          <t>收集啦151 旅 肥盒 BOX（简中）</t>
        </is>
      </c>
      <c r="B242" s="80" t="inlineStr">
        <is>
          <t>收集啦151 旅</t>
        </is>
      </c>
      <c r="C242" s="81" t="inlineStr">
        <is>
          <t>肥盒</t>
        </is>
      </c>
      <c r="D242" s="82" t="inlineStr">
        <is>
          <t>散包</t>
        </is>
      </c>
      <c r="E242" s="81" t="inlineStr">
        <is>
          <t>售罄</t>
        </is>
      </c>
      <c r="F242" s="81" t="n"/>
      <c r="G242" s="81" t="n"/>
      <c r="H242" s="81" t="n"/>
      <c r="I242" s="81" t="inlineStr">
        <is>
          <t>简中</t>
        </is>
      </c>
      <c r="J242" s="81" t="inlineStr">
        <is>
          <t>否</t>
        </is>
      </c>
      <c r="K242" s="81" t="inlineStr">
        <is>
          <t>否</t>
        </is>
      </c>
      <c r="L242" s="81" t="n">
        <v>6</v>
      </c>
      <c r="M242" s="80" t="inlineStr">
        <is>
          <t>/products/151c-lv-fat.png</t>
        </is>
      </c>
      <c r="N242" s="81" t="n"/>
      <c r="O242" s="81" t="inlineStr">
        <is>
          <t>扩充包</t>
        </is>
      </c>
      <c r="P242" s="80" t="inlineStr">
        <is>
          <t>收集啦151第1弹（旅）。官网/百科。5张装10元/包，20张装50元/包。集换社名称：收集啦151 旅。 本行=肥盒（20张装×6包）。价格初填待对照集换社。</t>
        </is>
      </c>
      <c r="Q242" s="80" t="n"/>
      <c r="R242" s="80" t="inlineStr">
        <is>
          <t>收集啦151-旅-fat-box-简中</t>
        </is>
      </c>
      <c r="S242" s="81" t="inlineStr">
        <is>
          <t>Pokemon</t>
        </is>
      </c>
      <c r="T242" s="80" t="n"/>
    </row>
    <row r="243" hidden="1" outlineLevel="1" ht="17" customHeight="1" s="59">
      <c r="A243" s="80" t="inlineStr">
        <is>
          <t>收集啦151 旅 肥盒 BOX（简中）</t>
        </is>
      </c>
      <c r="B243" s="80" t="inlineStr">
        <is>
          <t>收集啦151 旅</t>
        </is>
      </c>
      <c r="C243" s="81" t="inlineStr">
        <is>
          <t>肥盒</t>
        </is>
      </c>
      <c r="D243" s="82" t="inlineStr">
        <is>
          <t>原箱</t>
        </is>
      </c>
      <c r="E243" s="81" t="inlineStr">
        <is>
          <t>在售</t>
        </is>
      </c>
      <c r="F243" s="81" t="n"/>
      <c r="G243" s="81" t="n"/>
      <c r="H243" s="81" t="n"/>
      <c r="I243" s="81" t="inlineStr">
        <is>
          <t>简中</t>
        </is>
      </c>
      <c r="J243" s="81" t="inlineStr">
        <is>
          <t>否</t>
        </is>
      </c>
      <c r="K243" s="81" t="inlineStr">
        <is>
          <t>否</t>
        </is>
      </c>
      <c r="L243" s="81" t="n">
        <v>6</v>
      </c>
      <c r="M243" s="80" t="inlineStr">
        <is>
          <t>/products/151c-lv-fat.png</t>
        </is>
      </c>
      <c r="N243" s="81" t="n"/>
      <c r="O243" s="81" t="inlineStr">
        <is>
          <t>扩充包</t>
        </is>
      </c>
      <c r="P243" s="80" t="inlineStr">
        <is>
          <t>收集啦151第1弹（旅）。官网/百科。5张装10元/包，20张装50元/包。集换社名称：收集啦151 旅。 本行=肥盒（20张装×6包）。价格初填待对照集换社。</t>
        </is>
      </c>
      <c r="Q243" s="80" t="n"/>
      <c r="R243" s="80" t="inlineStr">
        <is>
          <t>收集啦151-旅-fat-box-简中</t>
        </is>
      </c>
      <c r="S243" s="81" t="inlineStr">
        <is>
          <t>Pokemon</t>
        </is>
      </c>
      <c r="T243" s="80" t="n"/>
    </row>
    <row r="244" ht="18" customHeight="1" s="59">
      <c r="A244" s="76" t="inlineStr">
        <is>
          <t xml:space="preserve">  望（2025-04-18发售 · 瘦盒5张装 / 肥盒20张装）</t>
        </is>
      </c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</row>
    <row r="245" ht="18" customHeight="1" s="59">
      <c r="A245" s="77" t="inlineStr">
        <is>
          <t>收集啦151 望 瘦盒 BOX（简中）</t>
        </is>
      </c>
      <c r="B245" s="77" t="inlineStr">
        <is>
          <t>收集啦151 望</t>
        </is>
      </c>
      <c r="C245" s="78" t="inlineStr">
        <is>
          <t>瘦盒</t>
        </is>
      </c>
      <c r="D245" s="79" t="inlineStr">
        <is>
          <t>原盒</t>
        </is>
      </c>
      <c r="E245" s="78" t="inlineStr">
        <is>
          <t>售罄</t>
        </is>
      </c>
      <c r="F245" s="78" t="n">
        <v>0</v>
      </c>
      <c r="G245" s="78" t="n"/>
      <c r="H245" s="78" t="n"/>
      <c r="I245" s="78" t="n"/>
      <c r="J245" s="78" t="n"/>
      <c r="K245" s="78" t="n"/>
      <c r="L245" s="78" t="n"/>
      <c r="M245" s="77" t="inlineStr">
        <is>
          <t>/products/151c-wang-slim.png</t>
        </is>
      </c>
      <c r="N245" s="78" t="n"/>
      <c r="O245" s="78" t="inlineStr">
        <is>
          <t>扩充包</t>
        </is>
      </c>
      <c r="P245" s="77" t="inlineStr">
        <is>
          <t>收集啦151第2弹（望）。水/龙/无色球闪概率提高。集换社名称：收集啦151 望。 本行=瘦盒（5张装×15包）。价格初填待对照集换社。</t>
        </is>
      </c>
      <c r="Q245" s="77" t="n"/>
      <c r="R245" s="77" t="inlineStr">
        <is>
          <t>收集啦151-望-slim-box-简中</t>
        </is>
      </c>
      <c r="S245" s="78" t="inlineStr">
        <is>
          <t>Pokemon</t>
        </is>
      </c>
      <c r="T245" s="77" t="n"/>
    </row>
    <row r="246" hidden="1" outlineLevel="1" ht="17" customHeight="1" s="59">
      <c r="A246" s="80" t="inlineStr">
        <is>
          <t>收集啦151 望 瘦盒 BOX（简中）</t>
        </is>
      </c>
      <c r="B246" s="80" t="inlineStr">
        <is>
          <t>收集啦151 望</t>
        </is>
      </c>
      <c r="C246" s="81" t="inlineStr">
        <is>
          <t>瘦盒</t>
        </is>
      </c>
      <c r="D246" s="82" t="inlineStr">
        <is>
          <t>散包</t>
        </is>
      </c>
      <c r="E246" s="81" t="inlineStr">
        <is>
          <t>售罄</t>
        </is>
      </c>
      <c r="F246" s="81" t="n">
        <v>0</v>
      </c>
      <c r="G246" s="81" t="n"/>
      <c r="H246" s="81" t="n"/>
      <c r="I246" s="81" t="inlineStr">
        <is>
          <t>简中</t>
        </is>
      </c>
      <c r="J246" s="81" t="inlineStr">
        <is>
          <t>否</t>
        </is>
      </c>
      <c r="K246" s="81" t="inlineStr">
        <is>
          <t>否</t>
        </is>
      </c>
      <c r="L246" s="81" t="n">
        <v>6</v>
      </c>
      <c r="M246" s="80" t="inlineStr">
        <is>
          <t>/products/151c-wang-slim.png</t>
        </is>
      </c>
      <c r="N246" s="81" t="n"/>
      <c r="O246" s="81" t="inlineStr">
        <is>
          <t>扩充包</t>
        </is>
      </c>
      <c r="P246" s="80" t="inlineStr">
        <is>
          <t>收集啦151第2弹（望）。水/龙/无色球闪概率提高。集换社名称：收集啦151 望。 本行=瘦盒（5张装×15包）。价格初填待对照集换社。</t>
        </is>
      </c>
      <c r="Q246" s="80" t="n"/>
      <c r="R246" s="80" t="inlineStr">
        <is>
          <t>收集啦151-望-slim-box-简中</t>
        </is>
      </c>
      <c r="S246" s="81" t="inlineStr">
        <is>
          <t>Pokemon</t>
        </is>
      </c>
      <c r="T246" s="80" t="n"/>
    </row>
    <row r="247" hidden="1" outlineLevel="1" ht="17" customHeight="1" s="59">
      <c r="A247" s="80" t="inlineStr">
        <is>
          <t>收集啦151 望 瘦盒 BOX（简中）</t>
        </is>
      </c>
      <c r="B247" s="80" t="inlineStr">
        <is>
          <t>收集啦151 望</t>
        </is>
      </c>
      <c r="C247" s="81" t="inlineStr">
        <is>
          <t>瘦盒</t>
        </is>
      </c>
      <c r="D247" s="82" t="inlineStr">
        <is>
          <t>原箱</t>
        </is>
      </c>
      <c r="E247" s="81" t="inlineStr">
        <is>
          <t>在售</t>
        </is>
      </c>
      <c r="F247" s="81" t="n">
        <v>0</v>
      </c>
      <c r="G247" s="81" t="n"/>
      <c r="H247" s="81" t="n"/>
      <c r="I247" s="81" t="inlineStr">
        <is>
          <t>简中</t>
        </is>
      </c>
      <c r="J247" s="81" t="inlineStr">
        <is>
          <t>否</t>
        </is>
      </c>
      <c r="K247" s="81" t="inlineStr">
        <is>
          <t>否</t>
        </is>
      </c>
      <c r="L247" s="81" t="n">
        <v>6</v>
      </c>
      <c r="M247" s="80" t="inlineStr">
        <is>
          <t>/products/151c-wang-slim.png</t>
        </is>
      </c>
      <c r="N247" s="81" t="n"/>
      <c r="O247" s="81" t="inlineStr">
        <is>
          <t>扩充包</t>
        </is>
      </c>
      <c r="P247" s="80" t="inlineStr">
        <is>
          <t>收集啦151第2弹（望）。水/龙/无色球闪概率提高。集换社名称：收集啦151 望。 本行=瘦盒（5张装×15包）。价格初填待对照集换社。</t>
        </is>
      </c>
      <c r="Q247" s="80" t="n"/>
      <c r="R247" s="80" t="inlineStr">
        <is>
          <t>收集啦151-望-slim-box-简中</t>
        </is>
      </c>
      <c r="S247" s="81" t="inlineStr">
        <is>
          <t>Pokemon</t>
        </is>
      </c>
      <c r="T247" s="80" t="n"/>
    </row>
    <row r="248" ht="18" customHeight="1" s="59">
      <c r="A248" s="83" t="inlineStr">
        <is>
          <t>收集啦151 望 肥盒 BOX（简中）</t>
        </is>
      </c>
      <c r="B248" s="83" t="inlineStr">
        <is>
          <t>收集啦151 望</t>
        </is>
      </c>
      <c r="C248" s="84" t="inlineStr">
        <is>
          <t>肥盒</t>
        </is>
      </c>
      <c r="D248" s="79" t="inlineStr">
        <is>
          <t>原盒</t>
        </is>
      </c>
      <c r="E248" s="84" t="inlineStr">
        <is>
          <t>在售</t>
        </is>
      </c>
      <c r="F248" s="84" t="n">
        <v>0</v>
      </c>
      <c r="G248" s="84" t="n">
        <v>8200</v>
      </c>
      <c r="H248" s="84" t="n"/>
      <c r="I248" s="84" t="inlineStr">
        <is>
          <t>简中</t>
        </is>
      </c>
      <c r="J248" s="84" t="inlineStr">
        <is>
          <t>否</t>
        </is>
      </c>
      <c r="K248" s="84" t="inlineStr">
        <is>
          <t>否</t>
        </is>
      </c>
      <c r="L248" s="84" t="n">
        <v>6</v>
      </c>
      <c r="M248" s="83" t="inlineStr">
        <is>
          <t>/products/151c-wang-fat.png</t>
        </is>
      </c>
      <c r="N248" s="84" t="n"/>
      <c r="O248" s="84" t="inlineStr">
        <is>
          <t>扩充包</t>
        </is>
      </c>
      <c r="P248" s="83" t="inlineStr">
        <is>
          <t>收集啦151第2弹（望）。水/龙/无色球闪概率提高。集换社名称：收集啦151 望。 本行=肥盒（20张装×6包）。价格初填待对照集换社。</t>
        </is>
      </c>
      <c r="Q248" s="83" t="n"/>
      <c r="R248" s="83" t="inlineStr">
        <is>
          <t>收集啦151-望-fat-box-简中</t>
        </is>
      </c>
      <c r="S248" s="84" t="inlineStr">
        <is>
          <t>Pokemon</t>
        </is>
      </c>
      <c r="T248" s="83" t="n"/>
    </row>
    <row r="249" hidden="1" outlineLevel="1" ht="17" customHeight="1" s="59">
      <c r="A249" s="80" t="inlineStr">
        <is>
          <t>收集啦151 望 肥盒 BOX（简中）</t>
        </is>
      </c>
      <c r="B249" s="80" t="inlineStr">
        <is>
          <t>收集啦151 望</t>
        </is>
      </c>
      <c r="C249" s="81" t="inlineStr">
        <is>
          <t>肥盒</t>
        </is>
      </c>
      <c r="D249" s="82" t="inlineStr">
        <is>
          <t>散包</t>
        </is>
      </c>
      <c r="E249" s="81" t="inlineStr">
        <is>
          <t>售罄</t>
        </is>
      </c>
      <c r="F249" s="81" t="n"/>
      <c r="G249" s="81" t="n"/>
      <c r="H249" s="81" t="n"/>
      <c r="I249" s="81" t="inlineStr">
        <is>
          <t>简中</t>
        </is>
      </c>
      <c r="J249" s="81" t="inlineStr">
        <is>
          <t>否</t>
        </is>
      </c>
      <c r="K249" s="81" t="inlineStr">
        <is>
          <t>否</t>
        </is>
      </c>
      <c r="L249" s="81" t="n">
        <v>6</v>
      </c>
      <c r="M249" s="80" t="inlineStr">
        <is>
          <t>/products/151c-wang-fat.png</t>
        </is>
      </c>
      <c r="N249" s="81" t="n"/>
      <c r="O249" s="81" t="inlineStr">
        <is>
          <t>扩充包</t>
        </is>
      </c>
      <c r="P249" s="80" t="inlineStr">
        <is>
          <t>收集啦151第2弹（望）。水/龙/无色球闪概率提高。集换社名称：收集啦151 望。 本行=肥盒（20张装×6包）。价格初填待对照集换社。</t>
        </is>
      </c>
      <c r="Q249" s="80" t="n"/>
      <c r="R249" s="80" t="inlineStr">
        <is>
          <t>收集啦151-望-fat-box-简中</t>
        </is>
      </c>
      <c r="S249" s="81" t="inlineStr">
        <is>
          <t>Pokemon</t>
        </is>
      </c>
      <c r="T249" s="80" t="n"/>
    </row>
    <row r="250" hidden="1" outlineLevel="1" ht="17" customHeight="1" s="59">
      <c r="A250" s="80" t="inlineStr">
        <is>
          <t>收集啦151 望 肥盒 BOX（简中）</t>
        </is>
      </c>
      <c r="B250" s="80" t="inlineStr">
        <is>
          <t>收集啦151 望</t>
        </is>
      </c>
      <c r="C250" s="81" t="inlineStr">
        <is>
          <t>肥盒</t>
        </is>
      </c>
      <c r="D250" s="82" t="inlineStr">
        <is>
          <t>原箱</t>
        </is>
      </c>
      <c r="E250" s="81" t="inlineStr">
        <is>
          <t>在售</t>
        </is>
      </c>
      <c r="F250" s="81" t="n"/>
      <c r="G250" s="81" t="n"/>
      <c r="H250" s="81" t="n"/>
      <c r="I250" s="81" t="inlineStr">
        <is>
          <t>简中</t>
        </is>
      </c>
      <c r="J250" s="81" t="inlineStr">
        <is>
          <t>否</t>
        </is>
      </c>
      <c r="K250" s="81" t="inlineStr">
        <is>
          <t>否</t>
        </is>
      </c>
      <c r="L250" s="81" t="n">
        <v>6</v>
      </c>
      <c r="M250" s="80" t="inlineStr">
        <is>
          <t>/products/151c-wang-fat.png</t>
        </is>
      </c>
      <c r="N250" s="81" t="n"/>
      <c r="O250" s="81" t="inlineStr">
        <is>
          <t>扩充包</t>
        </is>
      </c>
      <c r="P250" s="80" t="inlineStr">
        <is>
          <t>收集啦151第2弹（望）。水/龙/无色球闪概率提高。集换社名称：收集啦151 望。 本行=肥盒（20张装×6包）。价格初填待对照集换社。</t>
        </is>
      </c>
      <c r="Q250" s="80" t="n"/>
      <c r="R250" s="80" t="inlineStr">
        <is>
          <t>收集啦151-望-fat-box-简中</t>
        </is>
      </c>
      <c r="S250" s="81" t="inlineStr">
        <is>
          <t>Pokemon</t>
        </is>
      </c>
      <c r="T250" s="80" t="n"/>
    </row>
    <row r="251" ht="18" customHeight="1" s="59">
      <c r="A251" s="76" t="inlineStr">
        <is>
          <t xml:space="preserve">  惊（2025-07-18发售 · 瘦盒5张装 / 肥盒20张装）</t>
        </is>
      </c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</row>
    <row r="252" ht="18" customHeight="1" s="59">
      <c r="A252" s="77" t="inlineStr">
        <is>
          <t>收集啦151 惊 瘦盒 BOX（简中）</t>
        </is>
      </c>
      <c r="B252" s="77" t="inlineStr">
        <is>
          <t>收集啦151 惊</t>
        </is>
      </c>
      <c r="C252" s="78" t="inlineStr">
        <is>
          <t>瘦盒</t>
        </is>
      </c>
      <c r="D252" s="79" t="inlineStr">
        <is>
          <t>原盒</t>
        </is>
      </c>
      <c r="E252" s="78" t="inlineStr">
        <is>
          <t>售罄</t>
        </is>
      </c>
      <c r="F252" s="78" t="n">
        <v>0</v>
      </c>
      <c r="G252" s="78" t="n"/>
      <c r="H252" s="78" t="n"/>
      <c r="I252" s="78" t="n"/>
      <c r="J252" s="78" t="n"/>
      <c r="K252" s="78" t="n"/>
      <c r="L252" s="78" t="n"/>
      <c r="M252" s="77" t="inlineStr">
        <is>
          <t>/products/151c-jing-slim.png</t>
        </is>
      </c>
      <c r="N252" s="78" t="n"/>
      <c r="O252" s="78" t="inlineStr">
        <is>
          <t>扩充包</t>
        </is>
      </c>
      <c r="P252" s="77" t="inlineStr">
        <is>
          <t>收集啦151第3弹（惊）。草/超/恶球闪概率提高。集换社名称：收集啦151 惊。 本行=瘦盒（5张装×15包）。价格初填待对照集换社。</t>
        </is>
      </c>
      <c r="Q252" s="77" t="n"/>
      <c r="R252" s="77" t="inlineStr">
        <is>
          <t>收集啦151-惊-slim-box-简中</t>
        </is>
      </c>
      <c r="S252" s="78" t="inlineStr">
        <is>
          <t>Pokemon</t>
        </is>
      </c>
      <c r="T252" s="77" t="n"/>
    </row>
    <row r="253" hidden="1" outlineLevel="1" collapsed="1" ht="17" customHeight="1" s="59">
      <c r="A253" s="80" t="inlineStr">
        <is>
          <t>收集啦151 惊 瘦盒 BOX（简中）</t>
        </is>
      </c>
      <c r="B253" s="80" t="inlineStr">
        <is>
          <t>收集啦151 惊</t>
        </is>
      </c>
      <c r="C253" s="81" t="inlineStr">
        <is>
          <t>瘦盒</t>
        </is>
      </c>
      <c r="D253" s="82" t="inlineStr">
        <is>
          <t>散包</t>
        </is>
      </c>
      <c r="E253" s="81" t="inlineStr">
        <is>
          <t>售罄</t>
        </is>
      </c>
      <c r="F253" s="81" t="n">
        <v>0</v>
      </c>
      <c r="G253" s="81" t="n"/>
      <c r="H253" s="81" t="n"/>
      <c r="I253" s="81" t="inlineStr">
        <is>
          <t>简中</t>
        </is>
      </c>
      <c r="J253" s="81" t="inlineStr">
        <is>
          <t>否</t>
        </is>
      </c>
      <c r="K253" s="81" t="inlineStr">
        <is>
          <t>否</t>
        </is>
      </c>
      <c r="L253" s="81" t="n">
        <v>6</v>
      </c>
      <c r="M253" s="80" t="inlineStr">
        <is>
          <t>/products/151c-jing-slim.png</t>
        </is>
      </c>
      <c r="N253" s="81" t="n"/>
      <c r="O253" s="81" t="inlineStr">
        <is>
          <t>扩充包</t>
        </is>
      </c>
      <c r="P253" s="80" t="inlineStr">
        <is>
          <t>收集啦151第3弹（惊）。草/超/恶球闪概率提高。集换社名称：收集啦151 惊。 本行=瘦盒（5张装×15包）。价格初填待对照集换社。</t>
        </is>
      </c>
      <c r="Q253" s="80" t="n"/>
      <c r="R253" s="80" t="inlineStr">
        <is>
          <t>收集啦151-惊-slim-box-简中</t>
        </is>
      </c>
      <c r="S253" s="81" t="inlineStr">
        <is>
          <t>Pokemon</t>
        </is>
      </c>
      <c r="T253" s="80" t="n"/>
    </row>
    <row r="254" hidden="1" outlineLevel="1" ht="17" customHeight="1" s="59">
      <c r="A254" s="80" t="inlineStr">
        <is>
          <t>收集啦151 惊 瘦盒 BOX（简中）</t>
        </is>
      </c>
      <c r="B254" s="80" t="inlineStr">
        <is>
          <t>收集啦151 惊</t>
        </is>
      </c>
      <c r="C254" s="81" t="inlineStr">
        <is>
          <t>瘦盒</t>
        </is>
      </c>
      <c r="D254" s="82" t="inlineStr">
        <is>
          <t>原箱</t>
        </is>
      </c>
      <c r="E254" s="81" t="inlineStr">
        <is>
          <t>在售</t>
        </is>
      </c>
      <c r="F254" s="81" t="n">
        <v>0</v>
      </c>
      <c r="G254" s="81" t="n"/>
      <c r="H254" s="81" t="n"/>
      <c r="I254" s="81" t="inlineStr">
        <is>
          <t>简中</t>
        </is>
      </c>
      <c r="J254" s="81" t="inlineStr">
        <is>
          <t>否</t>
        </is>
      </c>
      <c r="K254" s="81" t="inlineStr">
        <is>
          <t>否</t>
        </is>
      </c>
      <c r="L254" s="81" t="n">
        <v>6</v>
      </c>
      <c r="M254" s="80" t="inlineStr">
        <is>
          <t>/products/151c-jing-slim.png</t>
        </is>
      </c>
      <c r="N254" s="81" t="n"/>
      <c r="O254" s="81" t="inlineStr">
        <is>
          <t>扩充包</t>
        </is>
      </c>
      <c r="P254" s="80" t="inlineStr">
        <is>
          <t>收集啦151第3弹（惊）。草/超/恶球闪概率提高。集换社名称：收集啦151 惊。 本行=瘦盒（5张装×15包）。价格初填待对照集换社。</t>
        </is>
      </c>
      <c r="Q254" s="80" t="n"/>
      <c r="R254" s="80" t="inlineStr">
        <is>
          <t>收集啦151-惊-slim-box-简中</t>
        </is>
      </c>
      <c r="S254" s="81" t="inlineStr">
        <is>
          <t>Pokemon</t>
        </is>
      </c>
      <c r="T254" s="80" t="n"/>
    </row>
    <row r="255" ht="18" customHeight="1" s="59">
      <c r="A255" s="83" t="inlineStr">
        <is>
          <t>收集啦151 惊 肥盒 BOX（简中）</t>
        </is>
      </c>
      <c r="B255" s="83" t="inlineStr">
        <is>
          <t>收集啦151 惊</t>
        </is>
      </c>
      <c r="C255" s="84" t="inlineStr">
        <is>
          <t>肥盒</t>
        </is>
      </c>
      <c r="D255" s="79" t="inlineStr">
        <is>
          <t>原盒</t>
        </is>
      </c>
      <c r="E255" s="84" t="inlineStr">
        <is>
          <t>在售</t>
        </is>
      </c>
      <c r="F255" s="84" t="n">
        <v>0</v>
      </c>
      <c r="G255" s="84" t="n">
        <v>8000</v>
      </c>
      <c r="H255" s="84" t="n"/>
      <c r="I255" s="84" t="inlineStr">
        <is>
          <t>简中</t>
        </is>
      </c>
      <c r="J255" s="84" t="inlineStr">
        <is>
          <t>否</t>
        </is>
      </c>
      <c r="K255" s="84" t="inlineStr">
        <is>
          <t>否</t>
        </is>
      </c>
      <c r="L255" s="84" t="n">
        <v>6</v>
      </c>
      <c r="M255" s="83" t="inlineStr">
        <is>
          <t>/products/151c-jing-fat.png</t>
        </is>
      </c>
      <c r="N255" s="84" t="n"/>
      <c r="O255" s="84" t="inlineStr">
        <is>
          <t>扩充包</t>
        </is>
      </c>
      <c r="P255" s="83" t="inlineStr">
        <is>
          <t>收集啦151第3弹（惊）。草/超/恶球闪概率提高。集换社名称：收集啦151 惊。 本行=肥盒（20张装×6包）。价格初填待对照集换社。</t>
        </is>
      </c>
      <c r="Q255" s="83" t="n"/>
      <c r="R255" s="83" t="inlineStr">
        <is>
          <t>收集啦151-惊-fat-box-简中</t>
        </is>
      </c>
      <c r="S255" s="84" t="inlineStr">
        <is>
          <t>Pokemon</t>
        </is>
      </c>
      <c r="T255" s="83" t="n"/>
    </row>
    <row r="256" hidden="1" outlineLevel="1" ht="17" customHeight="1" s="59">
      <c r="A256" s="80" t="inlineStr">
        <is>
          <t>收集啦151 惊 肥盒 BOX（简中）</t>
        </is>
      </c>
      <c r="B256" s="80" t="inlineStr">
        <is>
          <t>收集啦151 惊</t>
        </is>
      </c>
      <c r="C256" s="81" t="inlineStr">
        <is>
          <t>肥盒</t>
        </is>
      </c>
      <c r="D256" s="82" t="inlineStr">
        <is>
          <t>散包</t>
        </is>
      </c>
      <c r="E256" s="81" t="inlineStr">
        <is>
          <t>售罄</t>
        </is>
      </c>
      <c r="F256" s="81" t="n"/>
      <c r="G256" s="81" t="n"/>
      <c r="H256" s="81" t="n"/>
      <c r="I256" s="81" t="inlineStr">
        <is>
          <t>简中</t>
        </is>
      </c>
      <c r="J256" s="81" t="inlineStr">
        <is>
          <t>否</t>
        </is>
      </c>
      <c r="K256" s="81" t="inlineStr">
        <is>
          <t>否</t>
        </is>
      </c>
      <c r="L256" s="81" t="n">
        <v>6</v>
      </c>
      <c r="M256" s="80" t="inlineStr">
        <is>
          <t>/products/151c-jing-fat.png</t>
        </is>
      </c>
      <c r="N256" s="81" t="n"/>
      <c r="O256" s="81" t="inlineStr">
        <is>
          <t>扩充包</t>
        </is>
      </c>
      <c r="P256" s="80" t="inlineStr">
        <is>
          <t>收集啦151第3弹（惊）。草/超/恶球闪概率提高。集换社名称：收集啦151 惊。 本行=肥盒（20张装×6包）。价格初填待对照集换社。</t>
        </is>
      </c>
      <c r="Q256" s="80" t="n"/>
      <c r="R256" s="80" t="inlineStr">
        <is>
          <t>收集啦151-惊-fat-box-简中</t>
        </is>
      </c>
      <c r="S256" s="81" t="inlineStr">
        <is>
          <t>Pokemon</t>
        </is>
      </c>
      <c r="T256" s="80" t="n"/>
    </row>
    <row r="257" hidden="1" outlineLevel="1" ht="17" customHeight="1" s="59">
      <c r="A257" s="80" t="inlineStr">
        <is>
          <t>收集啦151 惊 肥盒 BOX（简中）</t>
        </is>
      </c>
      <c r="B257" s="80" t="inlineStr">
        <is>
          <t>收集啦151 惊</t>
        </is>
      </c>
      <c r="C257" s="81" t="inlineStr">
        <is>
          <t>肥盒</t>
        </is>
      </c>
      <c r="D257" s="82" t="inlineStr">
        <is>
          <t>原箱</t>
        </is>
      </c>
      <c r="E257" s="81" t="inlineStr">
        <is>
          <t>在售</t>
        </is>
      </c>
      <c r="F257" s="81" t="n"/>
      <c r="G257" s="81" t="n"/>
      <c r="H257" s="81" t="n"/>
      <c r="I257" s="81" t="inlineStr">
        <is>
          <t>简中</t>
        </is>
      </c>
      <c r="J257" s="81" t="inlineStr">
        <is>
          <t>否</t>
        </is>
      </c>
      <c r="K257" s="81" t="inlineStr">
        <is>
          <t>否</t>
        </is>
      </c>
      <c r="L257" s="81" t="n">
        <v>6</v>
      </c>
      <c r="M257" s="80" t="inlineStr">
        <is>
          <t>/products/151c-jing-fat.png</t>
        </is>
      </c>
      <c r="N257" s="81" t="n"/>
      <c r="O257" s="81" t="inlineStr">
        <is>
          <t>扩充包</t>
        </is>
      </c>
      <c r="P257" s="80" t="inlineStr">
        <is>
          <t>收集啦151第3弹（惊）。草/超/恶球闪概率提高。集换社名称：收集啦151 惊。 本行=肥盒（20张装×6包）。价格初填待对照集换社。</t>
        </is>
      </c>
      <c r="Q257" s="80" t="n"/>
      <c r="R257" s="80" t="inlineStr">
        <is>
          <t>收集啦151-惊-fat-box-简中</t>
        </is>
      </c>
      <c r="S257" s="81" t="inlineStr">
        <is>
          <t>Pokemon</t>
        </is>
      </c>
      <c r="T257" s="80" t="n"/>
    </row>
    <row r="258" ht="18" customHeight="1" s="59">
      <c r="A258" s="76" t="inlineStr">
        <is>
          <t xml:space="preserve">  聚（2025-10-17发售 · 瘦盒5张装 / 肥盒20张装）</t>
        </is>
      </c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</row>
    <row r="259" ht="18" customHeight="1" s="59">
      <c r="A259" s="77" t="inlineStr">
        <is>
          <t>收集啦151 聚 瘦盒 BOX（简中）</t>
        </is>
      </c>
      <c r="B259" s="77" t="inlineStr">
        <is>
          <t>收集啦151 聚</t>
        </is>
      </c>
      <c r="C259" s="78" t="inlineStr">
        <is>
          <t>瘦盒</t>
        </is>
      </c>
      <c r="D259" s="79" t="inlineStr">
        <is>
          <t>原盒</t>
        </is>
      </c>
      <c r="E259" s="78" t="inlineStr">
        <is>
          <t>在售</t>
        </is>
      </c>
      <c r="F259" s="78" t="n">
        <v>0</v>
      </c>
      <c r="G259" s="78" t="n">
        <v>8300</v>
      </c>
      <c r="H259" s="78" t="n"/>
      <c r="I259" s="78" t="inlineStr">
        <is>
          <t>简中</t>
        </is>
      </c>
      <c r="J259" s="78" t="inlineStr">
        <is>
          <t>否</t>
        </is>
      </c>
      <c r="K259" s="78" t="inlineStr">
        <is>
          <t>是</t>
        </is>
      </c>
      <c r="L259" s="78" t="n">
        <v>6</v>
      </c>
      <c r="M259" s="77" t="inlineStr">
        <is>
          <t>/products/151c-ju-slim.png</t>
        </is>
      </c>
      <c r="N259" s="78" t="n"/>
      <c r="O259" s="78" t="inlineStr">
        <is>
          <t>扩充包</t>
        </is>
      </c>
      <c r="P259" s="77" t="inlineStr">
        <is>
          <t>收集啦151第4弹（聚）。火/雷/斗球闪概率提高。集换社名称：收集啦151 聚。 本行=瘦盒（5张装×15包）。价格初填待对照集换社。</t>
        </is>
      </c>
      <c r="Q259" s="77" t="n"/>
      <c r="R259" s="77" t="inlineStr">
        <is>
          <t>收集啦151-聚-slim-box-简中</t>
        </is>
      </c>
      <c r="S259" s="78" t="inlineStr">
        <is>
          <t>Pokemon</t>
        </is>
      </c>
      <c r="T259" s="77" t="n"/>
    </row>
    <row r="260" hidden="1" outlineLevel="1" ht="17" customHeight="1" s="59">
      <c r="A260" s="80" t="inlineStr">
        <is>
          <t>收集啦151 聚 瘦盒 BOX（简中）</t>
        </is>
      </c>
      <c r="B260" s="80" t="inlineStr">
        <is>
          <t>收集啦151 聚</t>
        </is>
      </c>
      <c r="C260" s="81" t="inlineStr">
        <is>
          <t>瘦盒</t>
        </is>
      </c>
      <c r="D260" s="82" t="inlineStr">
        <is>
          <t>散包</t>
        </is>
      </c>
      <c r="E260" s="81" t="inlineStr">
        <is>
          <t>售罄</t>
        </is>
      </c>
      <c r="F260" s="81" t="n"/>
      <c r="G260" s="81" t="n"/>
      <c r="H260" s="81" t="n"/>
      <c r="I260" s="81" t="inlineStr">
        <is>
          <t>简中</t>
        </is>
      </c>
      <c r="J260" s="81" t="inlineStr">
        <is>
          <t>否</t>
        </is>
      </c>
      <c r="K260" s="81" t="inlineStr">
        <is>
          <t>是</t>
        </is>
      </c>
      <c r="L260" s="81" t="n">
        <v>6</v>
      </c>
      <c r="M260" s="80" t="inlineStr">
        <is>
          <t>/products/151c-ju-slim.png</t>
        </is>
      </c>
      <c r="N260" s="81" t="n"/>
      <c r="O260" s="81" t="inlineStr">
        <is>
          <t>扩充包</t>
        </is>
      </c>
      <c r="P260" s="80" t="inlineStr">
        <is>
          <t>收集啦151第4弹（聚）。火/雷/斗球闪概率提高。集换社名称：收集啦151 聚。 本行=瘦盒（5张装×15包）。价格初填待对照集换社。</t>
        </is>
      </c>
      <c r="Q260" s="80" t="n"/>
      <c r="R260" s="80" t="inlineStr">
        <is>
          <t>收集啦151-聚-slim-box-简中</t>
        </is>
      </c>
      <c r="S260" s="81" t="inlineStr">
        <is>
          <t>Pokemon</t>
        </is>
      </c>
      <c r="T260" s="80" t="n"/>
    </row>
    <row r="261" hidden="1" outlineLevel="1" ht="17" customHeight="1" s="59">
      <c r="A261" s="80" t="inlineStr">
        <is>
          <t>收集啦151 聚 瘦盒 BOX（简中）</t>
        </is>
      </c>
      <c r="B261" s="80" t="inlineStr">
        <is>
          <t>收集啦151 聚</t>
        </is>
      </c>
      <c r="C261" s="81" t="inlineStr">
        <is>
          <t>瘦盒</t>
        </is>
      </c>
      <c r="D261" s="82" t="inlineStr">
        <is>
          <t>原箱</t>
        </is>
      </c>
      <c r="E261" s="81" t="inlineStr">
        <is>
          <t>在售</t>
        </is>
      </c>
      <c r="F261" s="81" t="n"/>
      <c r="G261" s="81" t="n"/>
      <c r="H261" s="81" t="n"/>
      <c r="I261" s="81" t="inlineStr">
        <is>
          <t>简中</t>
        </is>
      </c>
      <c r="J261" s="81" t="inlineStr">
        <is>
          <t>否</t>
        </is>
      </c>
      <c r="K261" s="81" t="inlineStr">
        <is>
          <t>是</t>
        </is>
      </c>
      <c r="L261" s="81" t="n">
        <v>6</v>
      </c>
      <c r="M261" s="80" t="inlineStr">
        <is>
          <t>/products/151c-ju-slim.png</t>
        </is>
      </c>
      <c r="N261" s="81" t="n"/>
      <c r="O261" s="81" t="inlineStr">
        <is>
          <t>扩充包</t>
        </is>
      </c>
      <c r="P261" s="80" t="inlineStr">
        <is>
          <t>收集啦151第4弹（聚）。火/雷/斗球闪概率提高。集换社名称：收集啦151 聚。 本行=瘦盒（5张装×15包）。价格初填待对照集换社。</t>
        </is>
      </c>
      <c r="Q261" s="80" t="n"/>
      <c r="R261" s="80" t="inlineStr">
        <is>
          <t>收集啦151-聚-slim-box-简中</t>
        </is>
      </c>
      <c r="S261" s="81" t="inlineStr">
        <is>
          <t>Pokemon</t>
        </is>
      </c>
      <c r="T261" s="80" t="n"/>
    </row>
    <row r="262" ht="18" customHeight="1" s="59">
      <c r="A262" s="83" t="inlineStr">
        <is>
          <t>收集啦151 聚 肥盒 BOX（简中）</t>
        </is>
      </c>
      <c r="B262" s="83" t="inlineStr">
        <is>
          <t>收集啦151 聚</t>
        </is>
      </c>
      <c r="C262" s="84" t="inlineStr">
        <is>
          <t>肥盒</t>
        </is>
      </c>
      <c r="D262" s="79" t="inlineStr">
        <is>
          <t>原盒</t>
        </is>
      </c>
      <c r="E262" s="84" t="inlineStr">
        <is>
          <t>在售</t>
        </is>
      </c>
      <c r="F262" s="84" t="n">
        <v>0</v>
      </c>
      <c r="G262" s="84" t="n">
        <v>8300</v>
      </c>
      <c r="H262" s="84" t="n"/>
      <c r="I262" s="84" t="inlineStr">
        <is>
          <t>简中</t>
        </is>
      </c>
      <c r="J262" s="84" t="inlineStr">
        <is>
          <t>否</t>
        </is>
      </c>
      <c r="K262" s="84" t="inlineStr">
        <is>
          <t>否</t>
        </is>
      </c>
      <c r="L262" s="84" t="n">
        <v>6</v>
      </c>
      <c r="M262" s="83" t="inlineStr">
        <is>
          <t>/products/151c-ju-fat.png</t>
        </is>
      </c>
      <c r="N262" s="84" t="n"/>
      <c r="O262" s="84" t="inlineStr">
        <is>
          <t>扩充包</t>
        </is>
      </c>
      <c r="P262" s="83" t="inlineStr">
        <is>
          <t>收集啦151第4弹（聚）。火/雷/斗球闪概率提高。集换社名称：收集啦151 聚。 本行=肥盒（20张装×6包）。价格初填待对照集换社。</t>
        </is>
      </c>
      <c r="Q262" s="83" t="n"/>
      <c r="R262" s="83" t="inlineStr">
        <is>
          <t>收集啦151-聚-fat-box-简中</t>
        </is>
      </c>
      <c r="S262" s="84" t="inlineStr">
        <is>
          <t>Pokemon</t>
        </is>
      </c>
      <c r="T262" s="83" t="n"/>
    </row>
    <row r="263" hidden="1" outlineLevel="1" ht="17" customHeight="1" s="59">
      <c r="A263" s="80" t="inlineStr">
        <is>
          <t>收集啦151 聚 肥盒 BOX（简中）</t>
        </is>
      </c>
      <c r="B263" s="80" t="inlineStr">
        <is>
          <t>收集啦151 聚</t>
        </is>
      </c>
      <c r="C263" s="81" t="inlineStr">
        <is>
          <t>肥盒</t>
        </is>
      </c>
      <c r="D263" s="82" t="inlineStr">
        <is>
          <t>散包</t>
        </is>
      </c>
      <c r="E263" s="81" t="inlineStr">
        <is>
          <t>售罄</t>
        </is>
      </c>
      <c r="F263" s="81" t="n"/>
      <c r="G263" s="81" t="n"/>
      <c r="H263" s="81" t="n"/>
      <c r="I263" s="81" t="inlineStr">
        <is>
          <t>简中</t>
        </is>
      </c>
      <c r="J263" s="81" t="inlineStr">
        <is>
          <t>否</t>
        </is>
      </c>
      <c r="K263" s="81" t="inlineStr">
        <is>
          <t>否</t>
        </is>
      </c>
      <c r="L263" s="81" t="n">
        <v>6</v>
      </c>
      <c r="M263" s="80" t="inlineStr">
        <is>
          <t>/products/151c-ju-fat.png</t>
        </is>
      </c>
      <c r="N263" s="81" t="n"/>
      <c r="O263" s="81" t="inlineStr">
        <is>
          <t>扩充包</t>
        </is>
      </c>
      <c r="P263" s="80" t="inlineStr">
        <is>
          <t>收集啦151第4弹（聚）。火/雷/斗球闪概率提高。集换社名称：收集啦151 聚。 本行=肥盒（20张装×6包）。价格初填待对照集换社。</t>
        </is>
      </c>
      <c r="Q263" s="80" t="n"/>
      <c r="R263" s="80" t="inlineStr">
        <is>
          <t>收集啦151-聚-fat-box-简中</t>
        </is>
      </c>
      <c r="S263" s="81" t="inlineStr">
        <is>
          <t>Pokemon</t>
        </is>
      </c>
      <c r="T263" s="80" t="n"/>
    </row>
    <row r="264" hidden="1" outlineLevel="1" ht="17" customHeight="1" s="59">
      <c r="A264" s="80" t="inlineStr">
        <is>
          <t>收集啦151 聚 肥盒 BOX（简中）</t>
        </is>
      </c>
      <c r="B264" s="80" t="inlineStr">
        <is>
          <t>收集啦151 聚</t>
        </is>
      </c>
      <c r="C264" s="81" t="inlineStr">
        <is>
          <t>肥盒</t>
        </is>
      </c>
      <c r="D264" s="82" t="inlineStr">
        <is>
          <t>原箱</t>
        </is>
      </c>
      <c r="E264" s="81" t="inlineStr">
        <is>
          <t>在售</t>
        </is>
      </c>
      <c r="F264" s="81" t="n"/>
      <c r="G264" s="81" t="n"/>
      <c r="H264" s="81" t="n"/>
      <c r="I264" s="81" t="inlineStr">
        <is>
          <t>简中</t>
        </is>
      </c>
      <c r="J264" s="81" t="inlineStr">
        <is>
          <t>否</t>
        </is>
      </c>
      <c r="K264" s="81" t="inlineStr">
        <is>
          <t>否</t>
        </is>
      </c>
      <c r="L264" s="81" t="n">
        <v>6</v>
      </c>
      <c r="M264" s="80" t="inlineStr">
        <is>
          <t>/products/151c-ju-fat.png</t>
        </is>
      </c>
      <c r="N264" s="81" t="n"/>
      <c r="O264" s="81" t="inlineStr">
        <is>
          <t>扩充包</t>
        </is>
      </c>
      <c r="P264" s="80" t="inlineStr">
        <is>
          <t>收集啦151第4弹（聚）。火/雷/斗球闪概率提高。集换社名称：收集啦151 聚。 本行=肥盒（20张装×6包）。价格初填待对照集换社。</t>
        </is>
      </c>
      <c r="Q264" s="80" t="n"/>
      <c r="R264" s="80" t="inlineStr">
        <is>
          <t>收集啦151-聚-fat-box-简中</t>
        </is>
      </c>
      <c r="S264" s="81" t="inlineStr">
        <is>
          <t>Pokemon</t>
        </is>
      </c>
      <c r="T264" s="80" t="n"/>
    </row>
    <row r="265" ht="18" customHeight="1" s="59">
      <c r="A265" s="76" t="inlineStr">
        <is>
          <t xml:space="preserve">  套装 / 礼盒</t>
        </is>
      </c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</row>
    <row r="266" ht="18" customHeight="1" s="59">
      <c r="A266" s="77" t="inlineStr">
        <is>
          <t>151 收藏家套装（简中）</t>
        </is>
      </c>
      <c r="B266" s="77" t="inlineStr">
        <is>
          <t>151</t>
        </is>
      </c>
      <c r="C266" s="78" t="inlineStr">
        <is>
          <t>礼盒</t>
        </is>
      </c>
      <c r="D266" s="79" t="inlineStr">
        <is>
          <t>原盒</t>
        </is>
      </c>
      <c r="E266" s="78" t="inlineStr">
        <is>
          <t>在售</t>
        </is>
      </c>
      <c r="F266" s="78" t="n">
        <v>5</v>
      </c>
      <c r="G266" s="78" t="n">
        <v>12800</v>
      </c>
      <c r="H266" s="78" t="n"/>
      <c r="I266" s="78" t="inlineStr">
        <is>
          <t>简中</t>
        </is>
      </c>
      <c r="J266" s="78" t="inlineStr">
        <is>
          <t>否</t>
        </is>
      </c>
      <c r="K266" s="78" t="inlineStr">
        <is>
          <t>否</t>
        </is>
      </c>
      <c r="L266" s="78" t="n">
        <v>6</v>
      </c>
      <c r="M266" s="77" t="inlineStr">
        <is>
          <t>/products/151-box.png</t>
        </is>
      </c>
      <c r="N266" s="78" t="n"/>
      <c r="O266" s="78" t="inlineStr">
        <is>
          <t>礼盒</t>
        </is>
      </c>
      <c r="P266" s="77" t="inlineStr">
        <is>
          <t>简中151收藏家套装。</t>
        </is>
      </c>
      <c r="Q266" s="77" t="n"/>
      <c r="R266" s="77" t="inlineStr">
        <is>
          <t>151-コレクタ-ズセット-简中</t>
        </is>
      </c>
      <c r="S266" s="78" t="inlineStr">
        <is>
          <t>宝可梦</t>
        </is>
      </c>
      <c r="T266" s="77" t="n"/>
    </row>
    <row r="267" ht="18" customHeight="1" s="59">
      <c r="A267" s="83" t="inlineStr">
        <is>
          <t>收集啦151硬币套装 旅（简中）</t>
        </is>
      </c>
      <c r="B267" s="83" t="inlineStr">
        <is>
          <t>收集啦151 旅</t>
        </is>
      </c>
      <c r="C267" s="84" t="inlineStr">
        <is>
          <t>礼盒</t>
        </is>
      </c>
      <c r="D267" s="79" t="inlineStr">
        <is>
          <t>原盒</t>
        </is>
      </c>
      <c r="E267" s="84" t="inlineStr">
        <is>
          <t>售罄</t>
        </is>
      </c>
      <c r="F267" s="84" t="n">
        <v>0</v>
      </c>
      <c r="G267" s="84" t="n">
        <v>858</v>
      </c>
      <c r="H267" s="84" t="n"/>
      <c r="I267" s="84" t="inlineStr">
        <is>
          <t>简中</t>
        </is>
      </c>
      <c r="J267" s="84" t="inlineStr">
        <is>
          <t>否</t>
        </is>
      </c>
      <c r="K267" s="84" t="inlineStr">
        <is>
          <t>否</t>
        </is>
      </c>
      <c r="L267" s="84" t="n">
        <v>6</v>
      </c>
      <c r="M267" s="83" t="inlineStr">
        <is>
          <t>/products/151c-lv-slim.png</t>
        </is>
      </c>
      <c r="N267" s="84" t="n"/>
      <c r="O267" s="84" t="inlineStr">
        <is>
          <t>礼盒</t>
        </is>
      </c>
      <c r="P267" s="83" t="inlineStr">
        <is>
          <t>官网建议零售价39元。含主题硬币+闪卡+3包5张装。集换社/官网：收集啦151硬币套装 旅。</t>
        </is>
      </c>
      <c r="Q267" s="83" t="n"/>
      <c r="R267" s="83" t="inlineStr">
        <is>
          <t>收集啦151-硬币套装-旅-简中</t>
        </is>
      </c>
      <c r="S267" s="84" t="inlineStr">
        <is>
          <t>宝可梦</t>
        </is>
      </c>
      <c r="T267" s="83" t="n"/>
    </row>
    <row r="268" ht="18" customHeight="1" s="59">
      <c r="A268" s="77" t="inlineStr">
        <is>
          <t>收集啦151硬币套装ex 旅（简中）</t>
        </is>
      </c>
      <c r="B268" s="77" t="inlineStr">
        <is>
          <t>收集啦151 旅</t>
        </is>
      </c>
      <c r="C268" s="78" t="inlineStr">
        <is>
          <t>礼盒</t>
        </is>
      </c>
      <c r="D268" s="79" t="inlineStr">
        <is>
          <t>原盒</t>
        </is>
      </c>
      <c r="E268" s="78" t="inlineStr">
        <is>
          <t>售罄</t>
        </is>
      </c>
      <c r="F268" s="78" t="n">
        <v>0</v>
      </c>
      <c r="G268" s="78" t="n">
        <v>1936</v>
      </c>
      <c r="H268" s="78" t="n"/>
      <c r="I268" s="78" t="inlineStr">
        <is>
          <t>简中</t>
        </is>
      </c>
      <c r="J268" s="78" t="inlineStr">
        <is>
          <t>否</t>
        </is>
      </c>
      <c r="K268" s="78" t="inlineStr">
        <is>
          <t>否</t>
        </is>
      </c>
      <c r="L268" s="78" t="n">
        <v>6</v>
      </c>
      <c r="M268" s="77" t="inlineStr">
        <is>
          <t>/products/151c-lv-slim.png</t>
        </is>
      </c>
      <c r="N268" s="78" t="n"/>
      <c r="O268" s="78" t="inlineStr">
        <is>
          <t>礼盒</t>
        </is>
      </c>
      <c r="P268" s="77" t="inlineStr">
        <is>
          <t>官网建议零售价88元。含ex闪卡+硬币+3包5张+1包20张。</t>
        </is>
      </c>
      <c r="Q268" s="77" t="n"/>
      <c r="R268" s="77" t="inlineStr">
        <is>
          <t>收集啦151-硬币套装ex-旅-简中</t>
        </is>
      </c>
      <c r="S268" s="78" t="inlineStr">
        <is>
          <t>宝可梦</t>
        </is>
      </c>
      <c r="T268" s="77" t="n"/>
    </row>
    <row r="269" ht="18" customHeight="1" s="59">
      <c r="A269" s="83" t="inlineStr">
        <is>
          <t>收集啦151硬币套装 望（简中）</t>
        </is>
      </c>
      <c r="B269" s="83" t="inlineStr">
        <is>
          <t>收集啦151 望</t>
        </is>
      </c>
      <c r="C269" s="84" t="inlineStr">
        <is>
          <t>礼盒</t>
        </is>
      </c>
      <c r="D269" s="79" t="inlineStr">
        <is>
          <t>原盒</t>
        </is>
      </c>
      <c r="E269" s="84" t="inlineStr">
        <is>
          <t>售罄</t>
        </is>
      </c>
      <c r="F269" s="84" t="n">
        <v>0</v>
      </c>
      <c r="G269" s="84" t="n">
        <v>858</v>
      </c>
      <c r="H269" s="84" t="n"/>
      <c r="I269" s="84" t="inlineStr">
        <is>
          <t>简中</t>
        </is>
      </c>
      <c r="J269" s="84" t="inlineStr">
        <is>
          <t>否</t>
        </is>
      </c>
      <c r="K269" s="84" t="inlineStr">
        <is>
          <t>否</t>
        </is>
      </c>
      <c r="L269" s="84" t="n">
        <v>6</v>
      </c>
      <c r="M269" s="83" t="inlineStr">
        <is>
          <t>/products/151c-wang-slim.png</t>
        </is>
      </c>
      <c r="N269" s="84" t="n"/>
      <c r="O269" s="84" t="inlineStr">
        <is>
          <t>礼盒</t>
        </is>
      </c>
      <c r="P269" s="83" t="inlineStr">
        <is>
          <t>官网建议零售价39元。含主题硬币+闪卡+3包5张装。集换社/官网：收集啦151硬币套装 望。</t>
        </is>
      </c>
      <c r="Q269" s="83" t="n"/>
      <c r="R269" s="83" t="inlineStr">
        <is>
          <t>收集啦151-硬币套装-望-简中</t>
        </is>
      </c>
      <c r="S269" s="84" t="inlineStr">
        <is>
          <t>宝可梦</t>
        </is>
      </c>
      <c r="T269" s="83" t="n"/>
    </row>
    <row r="270" ht="18" customHeight="1" s="59">
      <c r="A270" s="77" t="inlineStr">
        <is>
          <t>收集啦151硬币套装ex 望（简中）</t>
        </is>
      </c>
      <c r="B270" s="77" t="inlineStr">
        <is>
          <t>收集啦151 望</t>
        </is>
      </c>
      <c r="C270" s="78" t="inlineStr">
        <is>
          <t>礼盒</t>
        </is>
      </c>
      <c r="D270" s="79" t="inlineStr">
        <is>
          <t>原盒</t>
        </is>
      </c>
      <c r="E270" s="78" t="inlineStr">
        <is>
          <t>售罄</t>
        </is>
      </c>
      <c r="F270" s="78" t="n">
        <v>0</v>
      </c>
      <c r="G270" s="78" t="n">
        <v>1936</v>
      </c>
      <c r="H270" s="78" t="n"/>
      <c r="I270" s="78" t="inlineStr">
        <is>
          <t>简中</t>
        </is>
      </c>
      <c r="J270" s="78" t="inlineStr">
        <is>
          <t>否</t>
        </is>
      </c>
      <c r="K270" s="78" t="inlineStr">
        <is>
          <t>否</t>
        </is>
      </c>
      <c r="L270" s="78" t="n">
        <v>6</v>
      </c>
      <c r="M270" s="77" t="inlineStr">
        <is>
          <t>/products/151c-wang-slim.png</t>
        </is>
      </c>
      <c r="N270" s="78" t="n"/>
      <c r="O270" s="78" t="inlineStr">
        <is>
          <t>礼盒</t>
        </is>
      </c>
      <c r="P270" s="77" t="inlineStr">
        <is>
          <t>官网建议零售价88元。含ex闪卡+硬币+3包5张+1包20张。</t>
        </is>
      </c>
      <c r="Q270" s="77" t="n"/>
      <c r="R270" s="77" t="inlineStr">
        <is>
          <t>收集啦151-硬币套装ex-望-简中</t>
        </is>
      </c>
      <c r="S270" s="78" t="inlineStr">
        <is>
          <t>宝可梦</t>
        </is>
      </c>
      <c r="T270" s="77" t="n"/>
    </row>
    <row r="271" ht="18" customHeight="1" s="59">
      <c r="A271" s="83" t="inlineStr">
        <is>
          <t>收集啦151硬币套装 惊（简中）</t>
        </is>
      </c>
      <c r="B271" s="83" t="inlineStr">
        <is>
          <t>收集啦151 惊</t>
        </is>
      </c>
      <c r="C271" s="84" t="inlineStr">
        <is>
          <t>礼盒</t>
        </is>
      </c>
      <c r="D271" s="79" t="inlineStr">
        <is>
          <t>原盒</t>
        </is>
      </c>
      <c r="E271" s="84" t="inlineStr">
        <is>
          <t>售罄</t>
        </is>
      </c>
      <c r="F271" s="84" t="n">
        <v>0</v>
      </c>
      <c r="G271" s="84" t="n">
        <v>858</v>
      </c>
      <c r="H271" s="84" t="n"/>
      <c r="I271" s="84" t="inlineStr">
        <is>
          <t>简中</t>
        </is>
      </c>
      <c r="J271" s="84" t="inlineStr">
        <is>
          <t>否</t>
        </is>
      </c>
      <c r="K271" s="84" t="inlineStr">
        <is>
          <t>否</t>
        </is>
      </c>
      <c r="L271" s="84" t="n">
        <v>6</v>
      </c>
      <c r="M271" s="83" t="inlineStr">
        <is>
          <t>/products/151c-jing-slim.png</t>
        </is>
      </c>
      <c r="N271" s="84" t="n"/>
      <c r="O271" s="84" t="inlineStr">
        <is>
          <t>礼盒</t>
        </is>
      </c>
      <c r="P271" s="83" t="inlineStr">
        <is>
          <t>官网建议零售价39元。含主题硬币+闪卡+3包5张装。集换社/官网：收集啦151硬币套装 惊。</t>
        </is>
      </c>
      <c r="Q271" s="83" t="n"/>
      <c r="R271" s="83" t="inlineStr">
        <is>
          <t>收集啦151-硬币套装-惊-简中</t>
        </is>
      </c>
      <c r="S271" s="84" t="inlineStr">
        <is>
          <t>宝可梦</t>
        </is>
      </c>
      <c r="T271" s="83" t="n"/>
    </row>
    <row r="272" ht="18" customHeight="1" s="59">
      <c r="A272" s="77" t="inlineStr">
        <is>
          <t>收集啦151硬币套装ex 惊（简中）</t>
        </is>
      </c>
      <c r="B272" s="77" t="inlineStr">
        <is>
          <t>收集啦151 惊</t>
        </is>
      </c>
      <c r="C272" s="78" t="inlineStr">
        <is>
          <t>礼盒</t>
        </is>
      </c>
      <c r="D272" s="79" t="inlineStr">
        <is>
          <t>原盒</t>
        </is>
      </c>
      <c r="E272" s="78" t="inlineStr">
        <is>
          <t>售罄</t>
        </is>
      </c>
      <c r="F272" s="78" t="n">
        <v>0</v>
      </c>
      <c r="G272" s="78" t="n">
        <v>1936</v>
      </c>
      <c r="H272" s="78" t="n"/>
      <c r="I272" s="78" t="inlineStr">
        <is>
          <t>简中</t>
        </is>
      </c>
      <c r="J272" s="78" t="inlineStr">
        <is>
          <t>否</t>
        </is>
      </c>
      <c r="K272" s="78" t="inlineStr">
        <is>
          <t>否</t>
        </is>
      </c>
      <c r="L272" s="78" t="n">
        <v>6</v>
      </c>
      <c r="M272" s="77" t="inlineStr">
        <is>
          <t>/products/151c-jing-slim.png</t>
        </is>
      </c>
      <c r="N272" s="78" t="n"/>
      <c r="O272" s="78" t="inlineStr">
        <is>
          <t>礼盒</t>
        </is>
      </c>
      <c r="P272" s="77" t="inlineStr">
        <is>
          <t>官网建议零售价88元。含ex闪卡+硬币+3包5张+1包20张。</t>
        </is>
      </c>
      <c r="Q272" s="77" t="n"/>
      <c r="R272" s="77" t="inlineStr">
        <is>
          <t>收集啦151-硬币套装ex-惊-简中</t>
        </is>
      </c>
      <c r="S272" s="78" t="inlineStr">
        <is>
          <t>宝可梦</t>
        </is>
      </c>
      <c r="T272" s="77" t="n"/>
    </row>
    <row r="273" ht="18" customHeight="1" s="59">
      <c r="A273" s="83" t="inlineStr">
        <is>
          <t>收集啦151硬币套装 聚（简中）</t>
        </is>
      </c>
      <c r="B273" s="83" t="inlineStr">
        <is>
          <t>收集啦151 聚</t>
        </is>
      </c>
      <c r="C273" s="84" t="inlineStr">
        <is>
          <t>礼盒</t>
        </is>
      </c>
      <c r="D273" s="79" t="inlineStr">
        <is>
          <t>原盒</t>
        </is>
      </c>
      <c r="E273" s="84" t="inlineStr">
        <is>
          <t>售罄</t>
        </is>
      </c>
      <c r="F273" s="84" t="n">
        <v>0</v>
      </c>
      <c r="G273" s="84" t="n">
        <v>858</v>
      </c>
      <c r="H273" s="84" t="n"/>
      <c r="I273" s="84" t="inlineStr">
        <is>
          <t>简中</t>
        </is>
      </c>
      <c r="J273" s="84" t="inlineStr">
        <is>
          <t>否</t>
        </is>
      </c>
      <c r="K273" s="84" t="inlineStr">
        <is>
          <t>否</t>
        </is>
      </c>
      <c r="L273" s="84" t="n">
        <v>6</v>
      </c>
      <c r="M273" s="83" t="inlineStr">
        <is>
          <t>/products/151c-ju-slim.png</t>
        </is>
      </c>
      <c r="N273" s="84" t="n"/>
      <c r="O273" s="84" t="inlineStr">
        <is>
          <t>礼盒</t>
        </is>
      </c>
      <c r="P273" s="83" t="inlineStr">
        <is>
          <t>官网建议零售价39元。含主题硬币+闪卡+3包5张装。集换社/官网：收集啦151硬币套装 聚。</t>
        </is>
      </c>
      <c r="Q273" s="83" t="n"/>
      <c r="R273" s="83" t="inlineStr">
        <is>
          <t>收集啦151-硬币套装-聚-简中</t>
        </is>
      </c>
      <c r="S273" s="84" t="inlineStr">
        <is>
          <t>宝可梦</t>
        </is>
      </c>
      <c r="T273" s="83" t="n"/>
    </row>
    <row r="274" ht="18" customHeight="1" s="59">
      <c r="A274" s="77" t="inlineStr">
        <is>
          <t>收集啦151硬币套装ex 聚（简中）</t>
        </is>
      </c>
      <c r="B274" s="77" t="inlineStr">
        <is>
          <t>收集啦151 聚</t>
        </is>
      </c>
      <c r="C274" s="78" t="inlineStr">
        <is>
          <t>礼盒</t>
        </is>
      </c>
      <c r="D274" s="79" t="inlineStr">
        <is>
          <t>原盒</t>
        </is>
      </c>
      <c r="E274" s="78" t="inlineStr">
        <is>
          <t>售罄</t>
        </is>
      </c>
      <c r="F274" s="78" t="n">
        <v>0</v>
      </c>
      <c r="G274" s="78" t="n">
        <v>1936</v>
      </c>
      <c r="H274" s="78" t="n"/>
      <c r="I274" s="78" t="inlineStr">
        <is>
          <t>简中</t>
        </is>
      </c>
      <c r="J274" s="78" t="inlineStr">
        <is>
          <t>否</t>
        </is>
      </c>
      <c r="K274" s="78" t="inlineStr">
        <is>
          <t>否</t>
        </is>
      </c>
      <c r="L274" s="78" t="n">
        <v>6</v>
      </c>
      <c r="M274" s="77" t="inlineStr">
        <is>
          <t>/products/151c-ju-slim.png</t>
        </is>
      </c>
      <c r="N274" s="78" t="n"/>
      <c r="O274" s="78" t="inlineStr">
        <is>
          <t>礼盒</t>
        </is>
      </c>
      <c r="P274" s="77" t="inlineStr">
        <is>
          <t>官网建议零售价88元。含ex闪卡+硬币+3包5张+1包20张。</t>
        </is>
      </c>
      <c r="Q274" s="77" t="n"/>
      <c r="R274" s="77" t="inlineStr">
        <is>
          <t>收集啦151-硬币套装ex-聚-简中</t>
        </is>
      </c>
      <c r="S274" s="78" t="inlineStr">
        <is>
          <t>宝可梦</t>
        </is>
      </c>
      <c r="T274" s="77" t="n"/>
    </row>
    <row r="275" ht="18" customHeight="1" s="59">
      <c r="A275" s="83" t="inlineStr">
        <is>
          <t>收集啦151 最初的伙伴展示套装（简中）</t>
        </is>
      </c>
      <c r="B275" s="83" t="inlineStr">
        <is>
          <t>151</t>
        </is>
      </c>
      <c r="C275" s="84" t="inlineStr">
        <is>
          <t>礼盒</t>
        </is>
      </c>
      <c r="D275" s="79" t="inlineStr">
        <is>
          <t>原盒</t>
        </is>
      </c>
      <c r="E275" s="84" t="inlineStr">
        <is>
          <t>售罄</t>
        </is>
      </c>
      <c r="F275" s="84" t="n">
        <v>0</v>
      </c>
      <c r="G275" s="84" t="n"/>
      <c r="H275" s="84" t="n"/>
      <c r="I275" s="84" t="inlineStr">
        <is>
          <t>简中</t>
        </is>
      </c>
      <c r="J275" s="84" t="inlineStr">
        <is>
          <t>否</t>
        </is>
      </c>
      <c r="K275" s="84" t="inlineStr">
        <is>
          <t>否</t>
        </is>
      </c>
      <c r="L275" s="84" t="n">
        <v>6</v>
      </c>
      <c r="M275" s="83" t="inlineStr">
        <is>
          <t>/products/151-box.png</t>
        </is>
      </c>
      <c r="N275" s="84" t="n"/>
      <c r="O275" s="84" t="inlineStr">
        <is>
          <t>礼盒</t>
        </is>
      </c>
      <c r="P275" s="83" t="inlineStr">
        <is>
          <t>含妙蛙种子/小火龙/杰尼龟闪卡+展示框+旅/望/惊各1包5张装。官网2025-08-22。</t>
        </is>
      </c>
      <c r="Q275" s="83" t="n"/>
      <c r="R275" s="83" t="inlineStr">
        <is>
          <t>收集啦151-最初的伙伴展示套装-简中</t>
        </is>
      </c>
      <c r="S275" s="84" t="inlineStr">
        <is>
          <t>宝可梦</t>
        </is>
      </c>
      <c r="T275" s="83" t="n"/>
    </row>
    <row r="276" ht="18" customHeight="1" s="59">
      <c r="A276" s="77" t="inlineStr">
        <is>
          <t>收集啦151 硬币收藏艺术展示框 黑色款（简中）</t>
        </is>
      </c>
      <c r="B276" s="77" t="inlineStr">
        <is>
          <t>151</t>
        </is>
      </c>
      <c r="C276" s="78" t="inlineStr">
        <is>
          <t>周边</t>
        </is>
      </c>
      <c r="D276" s="79" t="inlineStr">
        <is>
          <t>原盒</t>
        </is>
      </c>
      <c r="E276" s="78" t="inlineStr">
        <is>
          <t>售罄</t>
        </is>
      </c>
      <c r="F276" s="78" t="n">
        <v>0</v>
      </c>
      <c r="G276" s="78" t="n"/>
      <c r="H276" s="78" t="n"/>
      <c r="I276" s="78" t="inlineStr">
        <is>
          <t>简中</t>
        </is>
      </c>
      <c r="J276" s="78" t="inlineStr">
        <is>
          <t>是</t>
        </is>
      </c>
      <c r="K276" s="78" t="inlineStr">
        <is>
          <t>否</t>
        </is>
      </c>
      <c r="L276" s="78" t="n">
        <v>6</v>
      </c>
      <c r="M276" s="77" t="inlineStr">
        <is>
          <t>/products/151-box.png</t>
        </is>
      </c>
      <c r="N276" s="78" t="n"/>
      <c r="O276" s="78" t="inlineStr">
        <is>
          <t>周边</t>
        </is>
      </c>
      <c r="P276" s="77" t="inlineStr">
        <is>
          <t>官网已公布规格，价格/发售日待官宣。75.5cm 金属框，151硬币槽。</t>
        </is>
      </c>
      <c r="Q276" s="77" t="n"/>
      <c r="R276" s="77" t="inlineStr">
        <is>
          <t>收集啦151-硬币展示框-黑色-简中</t>
        </is>
      </c>
      <c r="S276" s="78" t="inlineStr">
        <is>
          <t>宝可梦</t>
        </is>
      </c>
      <c r="T276" s="77" t="n"/>
    </row>
    <row r="277" ht="18" customHeight="1" s="59">
      <c r="A277" s="83" t="inlineStr">
        <is>
          <t>收集啦151 硬币收藏艺术展示框 白色款（简中）</t>
        </is>
      </c>
      <c r="B277" s="83" t="inlineStr">
        <is>
          <t>151</t>
        </is>
      </c>
      <c r="C277" s="84" t="inlineStr">
        <is>
          <t>周边</t>
        </is>
      </c>
      <c r="D277" s="79" t="inlineStr">
        <is>
          <t>原盒</t>
        </is>
      </c>
      <c r="E277" s="84" t="inlineStr">
        <is>
          <t>售罄</t>
        </is>
      </c>
      <c r="F277" s="84" t="n">
        <v>0</v>
      </c>
      <c r="G277" s="84" t="n"/>
      <c r="H277" s="84" t="n"/>
      <c r="I277" s="84" t="inlineStr">
        <is>
          <t>简中</t>
        </is>
      </c>
      <c r="J277" s="84" t="inlineStr">
        <is>
          <t>是</t>
        </is>
      </c>
      <c r="K277" s="84" t="inlineStr">
        <is>
          <t>否</t>
        </is>
      </c>
      <c r="L277" s="84" t="n">
        <v>6</v>
      </c>
      <c r="M277" s="83" t="inlineStr">
        <is>
          <t>/products/151-box.png</t>
        </is>
      </c>
      <c r="N277" s="84" t="n"/>
      <c r="O277" s="84" t="inlineStr">
        <is>
          <t>周边</t>
        </is>
      </c>
      <c r="P277" s="83" t="inlineStr">
        <is>
          <t>官网已公布规格，价格/发售日待官宣。75.5cm 金属框，151硬币槽。</t>
        </is>
      </c>
      <c r="Q277" s="83" t="n"/>
      <c r="R277" s="83" t="inlineStr">
        <is>
          <t>收集啦151-硬币展示框-白色-简中</t>
        </is>
      </c>
      <c r="S277" s="84" t="inlineStr">
        <is>
          <t>宝可梦</t>
        </is>
      </c>
      <c r="T277" s="83" t="n"/>
    </row>
    <row r="278" ht="18" customHeight="1" s="59">
      <c r="A278" s="76" t="inlineStr">
        <is>
          <t xml:space="preserve">  30周年庆典</t>
        </is>
      </c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</row>
    <row r="279" ht="18" customHeight="1" s="59">
      <c r="A279" s="77" t="inlineStr">
        <is>
          <t>30周年庆典 幻彩未来纪念礼盒（简中）</t>
        </is>
      </c>
      <c r="B279" s="77" t="inlineStr">
        <is>
          <t>30周年庆典</t>
        </is>
      </c>
      <c r="C279" s="78" t="inlineStr">
        <is>
          <t>大礼盒</t>
        </is>
      </c>
      <c r="D279" s="79" t="inlineStr">
        <is>
          <t>原盒</t>
        </is>
      </c>
      <c r="E279" s="78" t="inlineStr">
        <is>
          <t>预售</t>
        </is>
      </c>
      <c r="F279" s="78" t="n">
        <v>0</v>
      </c>
      <c r="G279" s="78" t="n">
        <v>25000</v>
      </c>
      <c r="H279" s="78" t="n">
        <v>850</v>
      </c>
      <c r="I279" s="78" t="inlineStr">
        <is>
          <t>简中</t>
        </is>
      </c>
      <c r="J279" s="78" t="inlineStr">
        <is>
          <t>是</t>
        </is>
      </c>
      <c r="K279" s="78" t="inlineStr">
        <is>
          <t>是</t>
        </is>
      </c>
      <c r="L279" s="78" t="n">
        <v>7</v>
      </c>
      <c r="M279" s="77" t="inlineStr">
        <is>
          <t>/products/30th-deluxe-box.png</t>
        </is>
      </c>
      <c r="N279" s="78" t="n"/>
      <c r="O279" s="78" t="inlineStr">
        <is>
          <t>礼盒</t>
        </is>
      </c>
      <c r="P279" s="77" t="inlineStr">
        <is>
          <t>2026-09-16发售，零售价1,099元。含皮卡丘ex周年纪念闪卡×2、64张卡套、橡胶对战垫、骰子套、卡牌展示框等全套周边。</t>
        </is>
      </c>
      <c r="Q279" s="77" t="inlineStr">
        <is>
          <t>dd98104dd6064359bea6fb</t>
        </is>
      </c>
      <c r="R279" s="77" t="inlineStr">
        <is>
          <t>30th-anniversary-deluxe-box-简中</t>
        </is>
      </c>
      <c r="S279" s="78" t="inlineStr">
        <is>
          <t>Pokemon</t>
        </is>
      </c>
      <c r="T279" s="77" t="inlineStr">
        <is>
          <t>https://pimart-card-production.up.railway.app/products/30th-anniversary-deluxe-box-简中</t>
        </is>
      </c>
    </row>
    <row r="280" ht="18" customHeight="1" s="59">
      <c r="A280" s="83" t="inlineStr">
        <is>
          <t>30周年庆典 最初的伙伴闪卡套装 Vol.1（简中）</t>
        </is>
      </c>
      <c r="B280" s="83" t="inlineStr">
        <is>
          <t>30周年庆典</t>
        </is>
      </c>
      <c r="C280" s="84" t="inlineStr">
        <is>
          <t>礼盒</t>
        </is>
      </c>
      <c r="D280" s="79" t="inlineStr">
        <is>
          <t>原盒</t>
        </is>
      </c>
      <c r="E280" s="84" t="inlineStr">
        <is>
          <t>在售</t>
        </is>
      </c>
      <c r="F280" s="84" t="n">
        <v>0</v>
      </c>
      <c r="G280" s="84" t="n">
        <v>1500</v>
      </c>
      <c r="H280" s="84" t="n">
        <v>30</v>
      </c>
      <c r="I280" s="84" t="inlineStr">
        <is>
          <t>简中</t>
        </is>
      </c>
      <c r="J280" s="84" t="inlineStr">
        <is>
          <t>否</t>
        </is>
      </c>
      <c r="K280" s="84" t="inlineStr">
        <is>
          <t>否</t>
        </is>
      </c>
      <c r="L280" s="84" t="n">
        <v>6</v>
      </c>
      <c r="M280" s="83" t="inlineStr">
        <is>
          <t>/products/30th-vol1.png</t>
        </is>
      </c>
      <c r="N280" s="84" t="n"/>
      <c r="O280" s="84" t="inlineStr">
        <is>
          <t>礼盒</t>
        </is>
      </c>
      <c r="P280" s="83" t="inlineStr">
        <is>
          <t>30周年庆典 Vol.1，9种之一随机闪卡（关都/神奥/阿罗拉初始宝可梦）+亚克力展示框+璀璨诡幻5张补充包，零售价39元。</t>
        </is>
      </c>
      <c r="Q280" s="83" t="inlineStr">
        <is>
          <t>3d62cfaf8b20482ba68baf</t>
        </is>
      </c>
      <c r="R280" s="83" t="inlineStr">
        <is>
          <t>30th-anniversary-vol1-简中</t>
        </is>
      </c>
      <c r="S280" s="84" t="inlineStr">
        <is>
          <t>Pokemon</t>
        </is>
      </c>
      <c r="T280" s="83" t="inlineStr">
        <is>
          <t>https://pimart-card-production.up.railway.app/products/30th-anniversary-vol1-简中</t>
        </is>
      </c>
    </row>
    <row r="281" ht="18" customHeight="1" s="59">
      <c r="A281" s="77" t="inlineStr">
        <is>
          <t>30周年庆典 最初的伙伴闪卡套装 Vol.2（简中）</t>
        </is>
      </c>
      <c r="B281" s="77" t="inlineStr">
        <is>
          <t>30周年庆典</t>
        </is>
      </c>
      <c r="C281" s="78" t="inlineStr">
        <is>
          <t>礼盒</t>
        </is>
      </c>
      <c r="D281" s="79" t="inlineStr">
        <is>
          <t>原盒</t>
        </is>
      </c>
      <c r="E281" s="78" t="inlineStr">
        <is>
          <t>在售</t>
        </is>
      </c>
      <c r="F281" s="78" t="n">
        <v>0</v>
      </c>
      <c r="G281" s="78" t="n">
        <v>1500</v>
      </c>
      <c r="H281" s="78" t="n">
        <v>30</v>
      </c>
      <c r="I281" s="78" t="inlineStr">
        <is>
          <t>简中</t>
        </is>
      </c>
      <c r="J281" s="78" t="inlineStr">
        <is>
          <t>否</t>
        </is>
      </c>
      <c r="K281" s="78" t="inlineStr">
        <is>
          <t>否</t>
        </is>
      </c>
      <c r="L281" s="78" t="n">
        <v>6</v>
      </c>
      <c r="M281" s="77" t="inlineStr">
        <is>
          <t>/products/30th-vol2.png</t>
        </is>
      </c>
      <c r="N281" s="78" t="n"/>
      <c r="O281" s="78" t="inlineStr">
        <is>
          <t>礼盒</t>
        </is>
      </c>
      <c r="P281" s="77" t="inlineStr">
        <is>
          <t>30周年庆典 Vol.2，9种之一随机闪卡（城都/合众/伽勒尔初始宝可梦）+亚克力展示框+星彩晶璃5张补充包，零售价39元。</t>
        </is>
      </c>
      <c r="Q281" s="77" t="inlineStr">
        <is>
          <t>635e053d96674c3a82453f</t>
        </is>
      </c>
      <c r="R281" s="77" t="inlineStr">
        <is>
          <t>30th-anniversary-vol2-简中</t>
        </is>
      </c>
      <c r="S281" s="78" t="inlineStr">
        <is>
          <t>Pokemon</t>
        </is>
      </c>
      <c r="T281" s="77" t="inlineStr">
        <is>
          <t>https://pimart-card-production.up.railway.app/products/30th-anniversary-vol2-简中</t>
        </is>
      </c>
    </row>
    <row r="282" ht="18" customHeight="1" s="59">
      <c r="A282" s="83" t="inlineStr">
        <is>
          <t>30周年庆典 最初的伙伴闪卡套装 Vol.3（简中）</t>
        </is>
      </c>
      <c r="B282" s="83" t="inlineStr">
        <is>
          <t>30周年庆典</t>
        </is>
      </c>
      <c r="C282" s="84" t="inlineStr">
        <is>
          <t>礼盒</t>
        </is>
      </c>
      <c r="D282" s="79" t="inlineStr">
        <is>
          <t>原盒</t>
        </is>
      </c>
      <c r="E282" s="84" t="inlineStr">
        <is>
          <t>售罄</t>
        </is>
      </c>
      <c r="F282" s="84" t="n">
        <v>0</v>
      </c>
      <c r="G282" s="84" t="n">
        <v>1500</v>
      </c>
      <c r="H282" s="84" t="n"/>
      <c r="I282" s="84" t="inlineStr">
        <is>
          <t>简中</t>
        </is>
      </c>
      <c r="J282" s="84" t="inlineStr">
        <is>
          <t>是</t>
        </is>
      </c>
      <c r="K282" s="84" t="inlineStr">
        <is>
          <t>否</t>
        </is>
      </c>
      <c r="L282" s="84" t="n">
        <v>6</v>
      </c>
      <c r="M282" s="83" t="inlineStr">
        <is>
          <t>/products/30th-vol2.png</t>
        </is>
      </c>
      <c r="N282" s="84" t="n"/>
      <c r="O282" s="84" t="inlineStr">
        <is>
          <t>礼盒</t>
        </is>
      </c>
      <c r="P282" s="83" t="inlineStr">
        <is>
          <t>官网 2026-07-17 预告即将发售。价参考 Vol.1/2。</t>
        </is>
      </c>
      <c r="Q282" s="83" t="n"/>
      <c r="R282" s="83" t="inlineStr">
        <is>
          <t>30周年庆典-最初的伙伴-Vol3-简中</t>
        </is>
      </c>
      <c r="S282" s="84" t="inlineStr">
        <is>
          <t>宝可梦</t>
        </is>
      </c>
      <c r="T282" s="83" t="n"/>
    </row>
    <row r="283" ht="18" customHeight="1" s="59">
      <c r="A283" s="77" t="inlineStr">
        <is>
          <t>补充包 30周年庆典 补充包 BOX（简中）</t>
        </is>
      </c>
      <c r="B283" s="77" t="inlineStr">
        <is>
          <t>30周年庆典</t>
        </is>
      </c>
      <c r="C283" s="78" t="inlineStr">
        <is>
          <t>补充包(肥盒)</t>
        </is>
      </c>
      <c r="D283" s="79" t="inlineStr">
        <is>
          <t>原盒</t>
        </is>
      </c>
      <c r="E283" s="78" t="inlineStr">
        <is>
          <t>预售</t>
        </is>
      </c>
      <c r="F283" s="78" t="n">
        <v>0</v>
      </c>
      <c r="G283" s="78" t="n">
        <v>13000</v>
      </c>
      <c r="H283" s="78" t="n">
        <v>400</v>
      </c>
      <c r="I283" s="78" t="inlineStr">
        <is>
          <t>简中</t>
        </is>
      </c>
      <c r="J283" s="78" t="inlineStr">
        <is>
          <t>是</t>
        </is>
      </c>
      <c r="K283" s="78" t="inlineStr">
        <is>
          <t>是</t>
        </is>
      </c>
      <c r="L283" s="78" t="n">
        <v>7</v>
      </c>
      <c r="M283" s="77" t="inlineStr">
        <is>
          <t>/products/30th-booster-box.png</t>
        </is>
      </c>
      <c r="N283" s="78" t="n"/>
      <c r="O283" s="78" t="inlineStr">
        <is>
          <t>扩充包</t>
        </is>
      </c>
      <c r="P283" s="77" t="inlineStr">
        <is>
          <t>2026-09-16全球同步发售。每包6张全部为闪卡，含30位画师×30种皮卡丘插画，新稀有度FUR首次登场，零售价18元/包。</t>
        </is>
      </c>
      <c r="Q283" s="77" t="inlineStr">
        <is>
          <t>cf63b415733b450798617d</t>
        </is>
      </c>
      <c r="R283" s="77" t="inlineStr">
        <is>
          <t>30th-anniversary-booster-box-简中</t>
        </is>
      </c>
      <c r="S283" s="78" t="inlineStr">
        <is>
          <t>Pokemon</t>
        </is>
      </c>
      <c r="T283" s="77" t="inlineStr">
        <is>
          <t>https://pimart-card-production.up.railway.app/products/30th-anniversary-booster-box-简中</t>
        </is>
      </c>
    </row>
    <row r="284" hidden="1" outlineLevel="1" ht="17" customHeight="1" s="59">
      <c r="A284" s="80" t="inlineStr">
        <is>
          <t>补充包 30周年庆典 补充包 BOX（简中）</t>
        </is>
      </c>
      <c r="B284" s="80" t="inlineStr">
        <is>
          <t>30周年庆典</t>
        </is>
      </c>
      <c r="C284" s="81" t="inlineStr">
        <is>
          <t>补充包(肥盒)</t>
        </is>
      </c>
      <c r="D284" s="82" t="inlineStr">
        <is>
          <t>散包</t>
        </is>
      </c>
      <c r="E284" s="81" t="inlineStr">
        <is>
          <t>预售</t>
        </is>
      </c>
      <c r="F284" s="81" t="n"/>
      <c r="G284" s="81" t="n"/>
      <c r="H284" s="81" t="n">
        <v>400</v>
      </c>
      <c r="I284" s="81" t="inlineStr">
        <is>
          <t>简中</t>
        </is>
      </c>
      <c r="J284" s="81" t="inlineStr">
        <is>
          <t>是</t>
        </is>
      </c>
      <c r="K284" s="81" t="inlineStr">
        <is>
          <t>是</t>
        </is>
      </c>
      <c r="L284" s="81" t="n">
        <v>7</v>
      </c>
      <c r="M284" s="80" t="inlineStr">
        <is>
          <t>/products/30th-booster-box.png</t>
        </is>
      </c>
      <c r="N284" s="81" t="n"/>
      <c r="O284" s="81" t="inlineStr">
        <is>
          <t>扩充包</t>
        </is>
      </c>
      <c r="P284" s="80" t="inlineStr">
        <is>
          <t>2026-09-16全球同步发售。每包6张全部为闪卡，含30位画师×30种皮卡丘插画，新稀有度FUR首次登场，零售价18元/包。</t>
        </is>
      </c>
      <c r="Q284" s="80" t="inlineStr">
        <is>
          <t>cf63b415733b450798617d</t>
        </is>
      </c>
      <c r="R284" s="80" t="inlineStr">
        <is>
          <t>30th-anniversary-booster-box-简中</t>
        </is>
      </c>
      <c r="S284" s="81" t="inlineStr">
        <is>
          <t>Pokemon</t>
        </is>
      </c>
      <c r="T284" s="80" t="inlineStr">
        <is>
          <t>https://pimart-card-production.up.railway.app/products/30th-anniversary-booster-box-简中</t>
        </is>
      </c>
    </row>
    <row r="285" hidden="1" outlineLevel="1" ht="17" customHeight="1" s="59">
      <c r="A285" s="80" t="inlineStr">
        <is>
          <t>补充包 30周年庆典 补充包 BOX（简中）</t>
        </is>
      </c>
      <c r="B285" s="80" t="inlineStr">
        <is>
          <t>30周年庆典</t>
        </is>
      </c>
      <c r="C285" s="81" t="inlineStr">
        <is>
          <t>补充包(肥盒)</t>
        </is>
      </c>
      <c r="D285" s="82" t="inlineStr">
        <is>
          <t>原箱</t>
        </is>
      </c>
      <c r="E285" s="81" t="inlineStr">
        <is>
          <t>预售</t>
        </is>
      </c>
      <c r="F285" s="81" t="n"/>
      <c r="G285" s="81" t="n"/>
      <c r="H285" s="81" t="n">
        <v>400</v>
      </c>
      <c r="I285" s="81" t="inlineStr">
        <is>
          <t>简中</t>
        </is>
      </c>
      <c r="J285" s="81" t="inlineStr">
        <is>
          <t>是</t>
        </is>
      </c>
      <c r="K285" s="81" t="inlineStr">
        <is>
          <t>是</t>
        </is>
      </c>
      <c r="L285" s="81" t="n">
        <v>7</v>
      </c>
      <c r="M285" s="80" t="inlineStr">
        <is>
          <t>/products/30th-booster-box.png</t>
        </is>
      </c>
      <c r="N285" s="81" t="n"/>
      <c r="O285" s="81" t="inlineStr">
        <is>
          <t>扩充包</t>
        </is>
      </c>
      <c r="P285" s="80" t="inlineStr">
        <is>
          <t>2026-09-16全球同步发售。每包6张全部为闪卡，含30位画师×30种皮卡丘插画，新稀有度FUR首次登场，零售价18元/包。</t>
        </is>
      </c>
      <c r="Q285" s="80" t="inlineStr">
        <is>
          <t>cf63b415733b450798617d</t>
        </is>
      </c>
      <c r="R285" s="80" t="inlineStr">
        <is>
          <t>30th-anniversary-booster-box-简中</t>
        </is>
      </c>
      <c r="S285" s="81" t="inlineStr">
        <is>
          <t>Pokemon</t>
        </is>
      </c>
      <c r="T285" s="80" t="inlineStr">
        <is>
          <t>https://pimart-card-production.up.railway.app/products/30th-anniversary-booster-box-简中</t>
        </is>
      </c>
    </row>
    <row r="286" ht="18" customHeight="1" s="59">
      <c r="A286" s="76" t="inlineStr">
        <is>
          <t xml:space="preserve">  游历系列</t>
        </is>
      </c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</row>
    <row r="287" ht="18" customHeight="1" s="59">
      <c r="A287" s="83" t="inlineStr">
        <is>
          <t>游历对战周边礼盒（简中）</t>
        </is>
      </c>
      <c r="B287" s="83" t="inlineStr">
        <is>
          <t>游历系列</t>
        </is>
      </c>
      <c r="C287" s="84" t="inlineStr">
        <is>
          <t>礼盒</t>
        </is>
      </c>
      <c r="D287" s="79" t="inlineStr">
        <is>
          <t>原盒</t>
        </is>
      </c>
      <c r="E287" s="84" t="inlineStr">
        <is>
          <t>在售</t>
        </is>
      </c>
      <c r="F287" s="84" t="n">
        <v>12</v>
      </c>
      <c r="G287" s="84" t="n">
        <v>5000</v>
      </c>
      <c r="H287" s="84" t="n">
        <v>134.15</v>
      </c>
      <c r="I287" s="84" t="inlineStr">
        <is>
          <t>简中</t>
        </is>
      </c>
      <c r="J287" s="84" t="inlineStr">
        <is>
          <t>否</t>
        </is>
      </c>
      <c r="K287" s="84" t="inlineStr">
        <is>
          <t>否</t>
        </is>
      </c>
      <c r="L287" s="84" t="n">
        <v>6</v>
      </c>
      <c r="M287" s="83" t="inlineStr">
        <is>
          <t>/products/ylsc-battle-box.png</t>
        </is>
      </c>
      <c r="N287" s="84" t="n"/>
      <c r="O287" s="84" t="inlineStr">
        <is>
          <t>礼盒</t>
        </is>
      </c>
      <c r="P287" s="83" t="inlineStr">
        <is>
          <t>宝可梦游历系列对战周边礼盒，含主题对战配件及补充包，适合对战玩家。</t>
        </is>
      </c>
      <c r="Q287" s="83" t="inlineStr">
        <is>
          <t>129adb9c-a430-4313-87eb-d468c1d4af9d</t>
        </is>
      </c>
      <c r="R287" s="83" t="inlineStr">
        <is>
          <t>游历对战周边礼盒-简中</t>
        </is>
      </c>
      <c r="S287" s="84" t="inlineStr">
        <is>
          <t>Pokemon</t>
        </is>
      </c>
      <c r="T287" s="83" t="inlineStr">
        <is>
          <t>https://pimart-card-production.up.railway.app/products/%E6%B8%B8%E5%8E%86%E5%AF%B9%E6%88%98%E5%91%A8%E8%BE%B9%E7%A4%BC%E7%9B%92-%E7%AE%80%E4%B8%AD</t>
        </is>
      </c>
    </row>
    <row r="288" ht="18" customHeight="1" s="59">
      <c r="A288" s="77" t="inlineStr">
        <is>
          <t>游历收藏周边礼盒（简中）</t>
        </is>
      </c>
      <c r="B288" s="77" t="inlineStr">
        <is>
          <t>游历系列</t>
        </is>
      </c>
      <c r="C288" s="78" t="inlineStr">
        <is>
          <t>礼盒</t>
        </is>
      </c>
      <c r="D288" s="79" t="inlineStr">
        <is>
          <t>原盒</t>
        </is>
      </c>
      <c r="E288" s="78" t="inlineStr">
        <is>
          <t>在售</t>
        </is>
      </c>
      <c r="F288" s="78" t="n">
        <v>12</v>
      </c>
      <c r="G288" s="78" t="n">
        <v>5000</v>
      </c>
      <c r="H288" s="78" t="n">
        <v>134.15</v>
      </c>
      <c r="I288" s="78" t="inlineStr">
        <is>
          <t>简中</t>
        </is>
      </c>
      <c r="J288" s="78" t="inlineStr">
        <is>
          <t>否</t>
        </is>
      </c>
      <c r="K288" s="78" t="inlineStr">
        <is>
          <t>否</t>
        </is>
      </c>
      <c r="L288" s="78" t="n">
        <v>6</v>
      </c>
      <c r="M288" s="77" t="inlineStr">
        <is>
          <t>/products/ylsc-collect-box.png</t>
        </is>
      </c>
      <c r="N288" s="78" t="n"/>
      <c r="O288" s="78" t="inlineStr">
        <is>
          <t>礼盒</t>
        </is>
      </c>
      <c r="P288" s="77" t="inlineStr">
        <is>
          <t>宝可梦游历系列收藏周边礼盒，含主题收藏配件及补充包，适合收藏爱好者。</t>
        </is>
      </c>
      <c r="Q288" s="77" t="inlineStr">
        <is>
          <t>8f77e122-6e3d-4c8a-82a7-d35b1ed50a18</t>
        </is>
      </c>
      <c r="R288" s="77" t="inlineStr">
        <is>
          <t>游历收藏周边礼盒-简中</t>
        </is>
      </c>
      <c r="S288" s="78" t="inlineStr">
        <is>
          <t>Pokemon</t>
        </is>
      </c>
      <c r="T288" s="77" t="inlineStr">
        <is>
          <t>https://pimart-card-production.up.railway.app/products/%E6%B8%B8%E5%8E%86%E6%94%B6%E8%97%8F%E5%91%A8%E8%BE%B9%E7%A4%BC%E7%9B%92-%E7%AE%80%E4%B8%AD</t>
        </is>
      </c>
    </row>
    <row r="289" ht="18" customHeight="1" s="59">
      <c r="A289" s="76" t="inlineStr">
        <is>
          <t xml:space="preserve">  节日礼盒</t>
        </is>
      </c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</row>
    <row r="290" ht="18" customHeight="1" s="59">
      <c r="A290" s="83" t="inlineStr">
        <is>
          <t>2026 春节礼盒（简中）</t>
        </is>
      </c>
      <c r="B290" s="83" t="inlineStr">
        <is>
          <t>节日礼盒</t>
        </is>
      </c>
      <c r="C290" s="84" t="inlineStr">
        <is>
          <t>礼盒</t>
        </is>
      </c>
      <c r="D290" s="79" t="inlineStr">
        <is>
          <t>原盒</t>
        </is>
      </c>
      <c r="E290" s="84" t="inlineStr">
        <is>
          <t>在售</t>
        </is>
      </c>
      <c r="F290" s="84" t="n">
        <v>8</v>
      </c>
      <c r="G290" s="84" t="n">
        <v>7400</v>
      </c>
      <c r="H290" s="84" t="n">
        <v>198.54</v>
      </c>
      <c r="I290" s="84" t="inlineStr">
        <is>
          <t>简中</t>
        </is>
      </c>
      <c r="J290" s="84" t="inlineStr">
        <is>
          <t>否</t>
        </is>
      </c>
      <c r="K290" s="84" t="inlineStr">
        <is>
          <t>是</t>
        </is>
      </c>
      <c r="L290" s="84" t="n">
        <v>6</v>
      </c>
      <c r="M290" s="83" t="inlineStr">
        <is>
          <t>/products/chunjie2026-box.png</t>
        </is>
      </c>
      <c r="N290" s="84" t="n"/>
      <c r="O290" s="84" t="inlineStr">
        <is>
          <t>礼盒</t>
        </is>
      </c>
      <c r="P290" s="83" t="inlineStr">
        <is>
          <t>2026年春节限定礼盒，内含：剑刃觉醒补充包×5、春节主题冰箱贴×1、邮票×1、红包×6。</t>
        </is>
      </c>
      <c r="Q290" s="83" t="inlineStr">
        <is>
          <t>4428bc33-d733-4c48-9ea7-12ac8b660c7a</t>
        </is>
      </c>
      <c r="R290" s="83" t="inlineStr">
        <is>
          <t>2026-春节礼盒-简中</t>
        </is>
      </c>
      <c r="S290" s="84" t="inlineStr">
        <is>
          <t>Pokemon</t>
        </is>
      </c>
      <c r="T290" s="83" t="inlineStr">
        <is>
          <t>https://pimart-card-production.up.railway.app/products/2026-%E6%98%A5%E8%8A%82%E7%A4%BC%E7%9B%92-%E7%AE%80%E4%B8%AD</t>
        </is>
      </c>
    </row>
    <row r="291" ht="18" customHeight="1" s="59">
      <c r="A291" s="77" t="inlineStr">
        <is>
          <t>2026 端午节礼盒（简中）</t>
        </is>
      </c>
      <c r="B291" s="77" t="inlineStr">
        <is>
          <t>节日礼盒</t>
        </is>
      </c>
      <c r="C291" s="78" t="inlineStr">
        <is>
          <t>礼盒</t>
        </is>
      </c>
      <c r="D291" s="79" t="inlineStr">
        <is>
          <t>原盒</t>
        </is>
      </c>
      <c r="E291" s="78" t="inlineStr">
        <is>
          <t>在售</t>
        </is>
      </c>
      <c r="F291" s="78" t="n">
        <v>8</v>
      </c>
      <c r="G291" s="78" t="n">
        <v>7400</v>
      </c>
      <c r="H291" s="78" t="n">
        <v>198.54</v>
      </c>
      <c r="I291" s="78" t="inlineStr">
        <is>
          <t>简中</t>
        </is>
      </c>
      <c r="J291" s="78" t="inlineStr">
        <is>
          <t>否</t>
        </is>
      </c>
      <c r="K291" s="78" t="inlineStr">
        <is>
          <t>否</t>
        </is>
      </c>
      <c r="L291" s="78" t="n">
        <v>6</v>
      </c>
      <c r="M291" s="77" t="inlineStr">
        <is>
          <t>/products/duanwu2026-box.png</t>
        </is>
      </c>
      <c r="N291" s="78" t="n"/>
      <c r="O291" s="78" t="inlineStr">
        <is>
          <t>礼盒</t>
        </is>
      </c>
      <c r="P291" s="77" t="inlineStr">
        <is>
          <t>2026年端午节限定礼盒，内含：星彩晶璃补充包×5、端午节主题冰箱贴×1、粽子袋×1。</t>
        </is>
      </c>
      <c r="Q291" s="77" t="inlineStr">
        <is>
          <t>5dfb8db9-3149-430d-9077-ea03d3acf22a</t>
        </is>
      </c>
      <c r="R291" s="77" t="inlineStr">
        <is>
          <t>2026-端午节礼盒-简中</t>
        </is>
      </c>
      <c r="S291" s="78" t="inlineStr">
        <is>
          <t>Pokemon</t>
        </is>
      </c>
      <c r="T291" s="77" t="inlineStr">
        <is>
          <t>https://pimart-card-production.up.railway.app/products/2026-%E7%AB%AF%E5%8D%88%E8%8A%82%E7%A4%BC%E7%9B%92-%E7%AE%80%E4%B8%AD</t>
        </is>
      </c>
    </row>
  </sheetData>
  <dataValidations count="1">
    <dataValidation sqref="D4:D198" showDropDown="0" showInputMessage="0" showErrorMessage="1" allowBlank="1" errorTitle="规格" error="请选择：原盒 / 散包 / 原箱" type="list">
      <formula1>"原盒,散包,原箱"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0"/>
    <pageSetUpPr/>
  </sheetPr>
  <dimension ref="A1:AV110"/>
  <sheetViews>
    <sheetView showGridLines="0" showOutlineSymbols="1" zoomScale="10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74" sqref="A74:XFD78"/>
    </sheetView>
  </sheetViews>
  <sheetFormatPr baseColWidth="8" defaultRowHeight="14" outlineLevelRow="0"/>
  <cols>
    <col width="40" customWidth="1" style="59" min="1" max="1"/>
    <col width="16" customWidth="1" style="59" min="2" max="2"/>
    <col width="12" customWidth="1" style="59" min="3" max="3"/>
    <col width="8" customWidth="1" style="59" min="4" max="4"/>
    <col width="9" customWidth="1" style="59" min="5" max="5"/>
    <col width="8" customWidth="1" style="59" min="6" max="6"/>
    <col width="12" customWidth="1" style="59" min="7" max="7"/>
    <col width="11" customWidth="1" style="59" min="8" max="11"/>
    <col width="8" customWidth="1" style="59" min="9" max="9"/>
    <col width="8" customWidth="1" style="59" min="10" max="10"/>
    <col width="8" customWidth="1" style="59" min="11" max="11"/>
    <col width="8" customWidth="1" style="59" min="12" max="12"/>
    <col hidden="1" width="8" customWidth="1" style="59" min="13" max="17"/>
    <col width="20" customWidth="1" style="59" min="14" max="14"/>
    <col hidden="1" width="28" customWidth="1" style="59" min="18" max="18"/>
    <col hidden="1" width="22" customWidth="1" style="59" min="19" max="19"/>
    <col hidden="1" width="26" customWidth="1" style="59" min="20" max="20"/>
    <col hidden="1" width="11" customWidth="1" style="59" min="21" max="21"/>
    <col hidden="1" width="36" customWidth="1" style="59" min="22" max="22"/>
    <col hidden="1" width="13" customWidth="1" style="59" min="23" max="25"/>
    <col width="13" customWidth="1" style="59" min="26" max="32"/>
  </cols>
  <sheetData>
    <row r="1" ht="24" customHeight="1" s="59">
      <c r="A1" s="88" t="inlineStr">
        <is>
          <t>海贼王 · PIMART</t>
        </is>
      </c>
      <c r="M1" s="30" t="n"/>
      <c r="N1" s="30" t="n"/>
      <c r="O1" s="30" t="n"/>
      <c r="P1" s="30" t="n"/>
      <c r="Q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</row>
    <row r="2" ht="30" customHeight="1" s="59">
      <c r="A2" s="89" t="inlineStr">
        <is>
          <t>【大纲 1 / 2】点「1」只显示原盒主行（日常改库存/售价）。点「2」或行号旁「+」展开散包/原箱（有规格的新品写到这一层）。新品：先写规格=原盒，再在下方挂散包、原箱两行。</t>
        </is>
      </c>
      <c r="M2" s="30" t="n"/>
      <c r="N2" s="30" t="n"/>
      <c r="O2" s="30" t="n"/>
      <c r="P2" s="30" t="n"/>
      <c r="Q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</row>
    <row r="3" ht="40" customHeight="1" s="59">
      <c r="A3" s="90" t="n"/>
      <c r="B3" s="30" t="n"/>
      <c r="C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1" t="n"/>
      <c r="R3" s="69" t="n"/>
      <c r="S3" s="69" t="n"/>
      <c r="T3" s="69" t="n"/>
      <c r="U3" s="69" t="n"/>
      <c r="V3" s="69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</row>
    <row r="4" ht="26" customHeight="1" s="59">
      <c r="A4" s="74" t="inlineStr">
        <is>
          <t>商品名</t>
        </is>
      </c>
      <c r="B4" s="74" t="inlineStr">
        <is>
          <t>系列</t>
        </is>
      </c>
      <c r="C4" s="74" t="inlineStr">
        <is>
          <t>盒型/类型</t>
        </is>
      </c>
      <c r="D4" s="74" t="inlineStr">
        <is>
          <t>规格</t>
        </is>
      </c>
      <c r="E4" s="74" t="inlineStr">
        <is>
          <t>销售状态</t>
        </is>
      </c>
      <c r="F4" s="74" t="inlineStr">
        <is>
          <t>库存</t>
        </is>
      </c>
      <c r="G4" s="74" t="inlineStr">
        <is>
          <t>销售价(JPY)</t>
        </is>
      </c>
      <c r="H4" s="74" t="inlineStr">
        <is>
          <t>成本价(CNY)</t>
        </is>
      </c>
      <c r="I4" s="74" t="inlineStr">
        <is>
          <t>语言</t>
        </is>
      </c>
      <c r="J4" s="74" t="inlineStr">
        <is>
          <t>网站状态</t>
        </is>
      </c>
      <c r="K4" s="74" t="inlineStr">
        <is>
          <t>是否预售</t>
        </is>
      </c>
      <c r="L4" s="74" t="inlineStr">
        <is>
          <t>首页推荐</t>
        </is>
      </c>
      <c r="M4" s="74" t="inlineStr">
        <is>
          <t>发售日</t>
        </is>
      </c>
      <c r="N4" s="74" t="inlineStr">
        <is>
          <t>发货天数</t>
        </is>
      </c>
      <c r="O4" s="74" t="inlineStr">
        <is>
          <t>图片</t>
        </is>
      </c>
      <c r="P4" s="74" t="inlineStr">
        <is>
          <t>优先级</t>
        </is>
      </c>
      <c r="Q4" s="74" t="inlineStr">
        <is>
          <t>商品类型</t>
        </is>
      </c>
      <c r="R4" s="74" t="inlineStr">
        <is>
          <t>备注</t>
        </is>
      </c>
      <c r="S4" s="74" t="inlineStr">
        <is>
          <t>商品ID</t>
        </is>
      </c>
      <c r="T4" s="74" t="inlineStr">
        <is>
          <t>SKU/Slug</t>
        </is>
      </c>
      <c r="U4" s="74" t="inlineStr">
        <is>
          <t>游戏</t>
        </is>
      </c>
      <c r="V4" s="74" t="inlineStr">
        <is>
          <t>商品链接</t>
        </is>
      </c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</row>
    <row r="5" ht="20" customHeight="1" s="59">
      <c r="A5" s="75" t="inlineStr">
        <is>
          <t>OPC 主弹补充包（新→旧）</t>
        </is>
      </c>
      <c r="B5" s="75" t="n"/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</row>
    <row r="6" collapsed="1" ht="18" customHeight="1" s="59">
      <c r="A6" s="77" t="inlineStr">
        <is>
          <t>OPC-16 决战之时 原盒（简中）</t>
        </is>
      </c>
      <c r="B6" s="77" t="inlineStr">
        <is>
          <t>OPC-16</t>
        </is>
      </c>
      <c r="C6" s="78" t="inlineStr">
        <is>
          <t>原盒</t>
        </is>
      </c>
      <c r="D6" s="79" t="inlineStr">
        <is>
          <t>原盒</t>
        </is>
      </c>
      <c r="E6" s="78" t="inlineStr">
        <is>
          <t>售罄</t>
        </is>
      </c>
      <c r="F6" s="78" t="n">
        <v>0</v>
      </c>
      <c r="G6" s="78" t="n">
        <v>5500</v>
      </c>
      <c r="H6" s="78" t="n"/>
      <c r="I6" s="78" t="inlineStr">
        <is>
          <t>简中</t>
        </is>
      </c>
      <c r="J6" s="78" t="inlineStr">
        <is>
          <t>未上架</t>
        </is>
      </c>
      <c r="K6" s="78" t="inlineStr">
        <is>
          <t>否</t>
        </is>
      </c>
      <c r="L6" s="78" t="n"/>
      <c r="M6" s="77" t="inlineStr">
        <is>
          <t>2026-05-30T00:00:00</t>
        </is>
      </c>
      <c r="N6" s="78" t="n"/>
      <c r="O6" s="77" t="inlineStr">
        <is>
          <t>/products/onepiece-official/opc-16-pack.png</t>
        </is>
      </c>
      <c r="P6" s="78" t="n"/>
      <c r="Q6" s="78" t="inlineStr">
        <is>
          <t>扩充包</t>
        </is>
      </c>
      <c r="R6" s="77" t="inlineStr">
        <is>
          <t>官方 onepiece-cardgame.cn 已发售（主线编号弹，本店缺失（最新一弹）），本店未查到对应商品页，暂未上架。价格/库存/成本待你核实补录。 | 官方：决战之时。对照站内DB/集换社补库存价。</t>
        </is>
      </c>
      <c r="S6" s="77" t="n"/>
      <c r="T6" s="77" t="n"/>
      <c r="U6" s="78" t="inlineStr">
        <is>
          <t>海贼王</t>
        </is>
      </c>
      <c r="V6" s="77" t="n"/>
    </row>
    <row r="7" hidden="1" outlineLevel="1" ht="17" customHeight="1" s="59">
      <c r="A7" s="80" t="inlineStr">
        <is>
          <t>OPC-16 决战之时 散包（简中）</t>
        </is>
      </c>
      <c r="B7" s="80" t="inlineStr">
        <is>
          <t>OPC-16</t>
        </is>
      </c>
      <c r="C7" s="81" t="inlineStr">
        <is>
          <t>原盒</t>
        </is>
      </c>
      <c r="D7" s="82" t="inlineStr">
        <is>
          <t>散包</t>
        </is>
      </c>
      <c r="E7" s="81" t="inlineStr">
        <is>
          <t>售罄</t>
        </is>
      </c>
      <c r="F7" s="81" t="n">
        <v>0</v>
      </c>
      <c r="G7" s="81" t="n">
        <v>200</v>
      </c>
      <c r="H7" s="81" t="n"/>
      <c r="I7" s="81" t="inlineStr">
        <is>
          <t>简中</t>
        </is>
      </c>
      <c r="J7" s="81" t="inlineStr">
        <is>
          <t>未上架</t>
        </is>
      </c>
      <c r="K7" s="81" t="inlineStr">
        <is>
          <t>否</t>
        </is>
      </c>
      <c r="L7" s="81" t="n"/>
      <c r="M7" s="80" t="inlineStr">
        <is>
          <t>2026-05-30T00:00:00</t>
        </is>
      </c>
      <c r="N7" s="81" t="n"/>
      <c r="O7" s="80" t="inlineStr">
        <is>
          <t>/products/onepiece-official/opc-16-pack.png</t>
        </is>
      </c>
      <c r="P7" s="81" t="n"/>
      <c r="Q7" s="81" t="inlineStr">
        <is>
          <t>扩充包</t>
        </is>
      </c>
      <c r="R7" s="80" t="inlineStr">
        <is>
          <t>官方 onepiece-cardgame.cn 已发售（主线编号弹，本店缺失（最新一弹）），本店未查到对应商品页，暂未上架。价格/库存/成本待你核实补录。 | 官方：决战之时。对照站内DB/集换社补库存价。</t>
        </is>
      </c>
      <c r="S7" s="80" t="n"/>
      <c r="T7" s="80" t="n"/>
      <c r="U7" s="81" t="inlineStr">
        <is>
          <t>海贼王</t>
        </is>
      </c>
      <c r="V7" s="80" t="n"/>
    </row>
    <row r="8" hidden="1" outlineLevel="1" ht="17" customHeight="1" s="59">
      <c r="A8" s="80" t="inlineStr">
        <is>
          <t>OPC-16 决战之时 原箱（简中）</t>
        </is>
      </c>
      <c r="B8" s="80" t="inlineStr">
        <is>
          <t>OPC-16</t>
        </is>
      </c>
      <c r="C8" s="81" t="inlineStr">
        <is>
          <t>原盒</t>
        </is>
      </c>
      <c r="D8" s="82" t="inlineStr">
        <is>
          <t>原箱</t>
        </is>
      </c>
      <c r="E8" s="81" t="inlineStr">
        <is>
          <t>售罄</t>
        </is>
      </c>
      <c r="F8" s="81" t="n">
        <v>0</v>
      </c>
      <c r="G8" s="81" t="n">
        <v>66000</v>
      </c>
      <c r="H8" s="81" t="n"/>
      <c r="I8" s="81" t="inlineStr">
        <is>
          <t>简中</t>
        </is>
      </c>
      <c r="J8" s="81" t="inlineStr">
        <is>
          <t>未上架</t>
        </is>
      </c>
      <c r="K8" s="81" t="inlineStr">
        <is>
          <t>否</t>
        </is>
      </c>
      <c r="L8" s="81" t="n"/>
      <c r="M8" s="80" t="inlineStr">
        <is>
          <t>2026-05-30T00:00:00</t>
        </is>
      </c>
      <c r="N8" s="81" t="n"/>
      <c r="O8" s="80" t="inlineStr">
        <is>
          <t>/products/onepiece-official/opc-16-pack.png</t>
        </is>
      </c>
      <c r="P8" s="81" t="n"/>
      <c r="Q8" s="81" t="inlineStr">
        <is>
          <t>扩充包</t>
        </is>
      </c>
      <c r="R8" s="80" t="inlineStr">
        <is>
          <t>官方 onepiece-cardgame.cn 已发售（主线编号弹，本店缺失（最新一弹）），本店未查到对应商品页，暂未上架。价格/库存/成本待你核实补录。 | 官方：决战之时。对照站内DB/集换社补库存价。</t>
        </is>
      </c>
      <c r="S8" s="80" t="n"/>
      <c r="T8" s="80" t="n"/>
      <c r="U8" s="81" t="inlineStr">
        <is>
          <t>海贼王</t>
        </is>
      </c>
      <c r="V8" s="80" t="n"/>
    </row>
    <row r="9" collapsed="1" ht="18" customHeight="1" s="59">
      <c r="A9" s="83" t="inlineStr">
        <is>
          <t>OPC-15 神之岛的冒险 原盒（简中）</t>
        </is>
      </c>
      <c r="B9" s="83" t="inlineStr">
        <is>
          <t>OPC-15</t>
        </is>
      </c>
      <c r="C9" s="84" t="inlineStr">
        <is>
          <t>原盒</t>
        </is>
      </c>
      <c r="D9" s="79" t="inlineStr">
        <is>
          <t>原盒</t>
        </is>
      </c>
      <c r="E9" s="84" t="inlineStr">
        <is>
          <t>售罄</t>
        </is>
      </c>
      <c r="F9" s="84" t="n">
        <v>0</v>
      </c>
      <c r="G9" s="84" t="n">
        <v>5500</v>
      </c>
      <c r="H9" s="84" t="n"/>
      <c r="I9" s="84" t="inlineStr">
        <is>
          <t>简中</t>
        </is>
      </c>
      <c r="J9" s="84" t="inlineStr">
        <is>
          <t>上架</t>
        </is>
      </c>
      <c r="K9" s="84" t="inlineStr">
        <is>
          <t>否</t>
        </is>
      </c>
      <c r="L9" s="84" t="n"/>
      <c r="M9" s="83" t="inlineStr">
        <is>
          <t>2026-03-14T00:00:00</t>
        </is>
      </c>
      <c r="N9" s="84" t="n"/>
      <c r="O9" s="83" t="inlineStr">
        <is>
          <t>/products/onepiece-official/opc-15-pack.png</t>
        </is>
      </c>
      <c r="P9" s="84" t="n"/>
      <c r="Q9" s="84" t="inlineStr">
        <is>
          <t>扩充包</t>
        </is>
      </c>
      <c r="R9" s="83" t="inlineStr">
        <is>
          <t>成本价/成本汇率待补录（Obsidian 暂无海贼王产品笔记）。 官方发售日 2026-03-14（来自 onepiece-cardgame.cn 官方数据）。 | 官方：神之岛的冒险。对照站内DB/集换社补库存价。</t>
        </is>
      </c>
      <c r="S9" s="83" t="n"/>
      <c r="T9" s="83" t="inlineStr">
        <is>
          <t>opc-15-adventure-gods-island-box</t>
        </is>
      </c>
      <c r="U9" s="84" t="inlineStr">
        <is>
          <t>One Piece</t>
        </is>
      </c>
      <c r="V9" s="83" t="inlineStr">
        <is>
          <t>https://pimart-card-production.up.railway.app/products/opc-15-adventure-gods-island-box</t>
        </is>
      </c>
    </row>
    <row r="10" hidden="1" outlineLevel="1" ht="17" customHeight="1" s="59">
      <c r="A10" s="80" t="inlineStr">
        <is>
          <t>OPC-15 神之岛的冒险 散包（简中）</t>
        </is>
      </c>
      <c r="B10" s="80" t="inlineStr">
        <is>
          <t>OPC-15</t>
        </is>
      </c>
      <c r="C10" s="81" t="inlineStr">
        <is>
          <t>原盒</t>
        </is>
      </c>
      <c r="D10" s="82" t="inlineStr">
        <is>
          <t>散包</t>
        </is>
      </c>
      <c r="E10" s="81" t="inlineStr">
        <is>
          <t>售罄</t>
        </is>
      </c>
      <c r="F10" s="81" t="n">
        <v>0</v>
      </c>
      <c r="G10" s="81" t="n">
        <v>200</v>
      </c>
      <c r="H10" s="81" t="n"/>
      <c r="I10" s="81" t="inlineStr">
        <is>
          <t>简中</t>
        </is>
      </c>
      <c r="J10" s="81" t="inlineStr">
        <is>
          <t>上架</t>
        </is>
      </c>
      <c r="K10" s="81" t="inlineStr">
        <is>
          <t>否</t>
        </is>
      </c>
      <c r="L10" s="81" t="n"/>
      <c r="M10" s="80" t="inlineStr">
        <is>
          <t>2026-03-14T00:00:00</t>
        </is>
      </c>
      <c r="N10" s="81" t="n"/>
      <c r="O10" s="80" t="inlineStr">
        <is>
          <t>/products/onepiece-official/opc-15-pack.png</t>
        </is>
      </c>
      <c r="P10" s="81" t="n"/>
      <c r="Q10" s="81" t="inlineStr">
        <is>
          <t>扩充包</t>
        </is>
      </c>
      <c r="R10" s="80" t="inlineStr">
        <is>
          <t>成本价/成本汇率待补录（Obsidian 暂无海贼王产品笔记）。 官方发售日 2026-03-14（来自 onepiece-cardgame.cn 官方数据）。 | 官方：神之岛的冒险。对照站内DB/集换社补库存价。</t>
        </is>
      </c>
      <c r="S10" s="80" t="n"/>
      <c r="T10" s="80" t="inlineStr">
        <is>
          <t>opc-15-adventure-gods-island-box</t>
        </is>
      </c>
      <c r="U10" s="81" t="inlineStr">
        <is>
          <t>One Piece</t>
        </is>
      </c>
      <c r="V10" s="80" t="inlineStr">
        <is>
          <t>https://pimart-card-production.up.railway.app/products/opc-15-adventure-gods-island-box</t>
        </is>
      </c>
    </row>
    <row r="11" hidden="1" outlineLevel="1" ht="17" customHeight="1" s="59">
      <c r="A11" s="80" t="inlineStr">
        <is>
          <t>OPC-15 神之岛的冒险 原箱（简中）</t>
        </is>
      </c>
      <c r="B11" s="80" t="inlineStr">
        <is>
          <t>OPC-15</t>
        </is>
      </c>
      <c r="C11" s="81" t="inlineStr">
        <is>
          <t>原盒</t>
        </is>
      </c>
      <c r="D11" s="82" t="inlineStr">
        <is>
          <t>原箱</t>
        </is>
      </c>
      <c r="E11" s="81" t="inlineStr">
        <is>
          <t>售罄</t>
        </is>
      </c>
      <c r="F11" s="81" t="n">
        <v>0</v>
      </c>
      <c r="G11" s="81" t="n">
        <v>66000</v>
      </c>
      <c r="H11" s="81" t="n"/>
      <c r="I11" s="81" t="inlineStr">
        <is>
          <t>简中</t>
        </is>
      </c>
      <c r="J11" s="81" t="inlineStr">
        <is>
          <t>上架</t>
        </is>
      </c>
      <c r="K11" s="81" t="inlineStr">
        <is>
          <t>否</t>
        </is>
      </c>
      <c r="L11" s="81" t="n"/>
      <c r="M11" s="80" t="inlineStr">
        <is>
          <t>2026-03-14T00:00:00</t>
        </is>
      </c>
      <c r="N11" s="81" t="n"/>
      <c r="O11" s="80" t="inlineStr">
        <is>
          <t>/products/onepiece-official/opc-15-pack.png</t>
        </is>
      </c>
      <c r="P11" s="81" t="n"/>
      <c r="Q11" s="81" t="inlineStr">
        <is>
          <t>扩充包</t>
        </is>
      </c>
      <c r="R11" s="80" t="inlineStr">
        <is>
          <t>成本价/成本汇率待补录（Obsidian 暂无海贼王产品笔记）。 官方发售日 2026-03-14（来自 onepiece-cardgame.cn 官方数据）。 | 官方：神之岛的冒险。对照站内DB/集换社补库存价。</t>
        </is>
      </c>
      <c r="S11" s="80" t="n"/>
      <c r="T11" s="80" t="inlineStr">
        <is>
          <t>opc-15-adventure-gods-island-box</t>
        </is>
      </c>
      <c r="U11" s="81" t="inlineStr">
        <is>
          <t>One Piece</t>
        </is>
      </c>
      <c r="V11" s="80" t="inlineStr">
        <is>
          <t>https://pimart-card-production.up.railway.app/products/opc-15-adventure-gods-island-box</t>
        </is>
      </c>
    </row>
    <row r="12" collapsed="1" ht="18" customHeight="1" s="59">
      <c r="A12" s="77" t="inlineStr">
        <is>
          <t>OPC-14 苍海七杰 原盒（简中）</t>
        </is>
      </c>
      <c r="B12" s="77" t="inlineStr">
        <is>
          <t>OPC-14</t>
        </is>
      </c>
      <c r="C12" s="78" t="inlineStr">
        <is>
          <t>原盒</t>
        </is>
      </c>
      <c r="D12" s="79" t="inlineStr">
        <is>
          <t>原盒</t>
        </is>
      </c>
      <c r="E12" s="78" t="inlineStr">
        <is>
          <t>售罄</t>
        </is>
      </c>
      <c r="F12" s="78" t="n">
        <v>0</v>
      </c>
      <c r="G12" s="78" t="n">
        <v>5500</v>
      </c>
      <c r="H12" s="78" t="n"/>
      <c r="I12" s="78" t="inlineStr">
        <is>
          <t>简中</t>
        </is>
      </c>
      <c r="J12" s="78" t="inlineStr">
        <is>
          <t>上架</t>
        </is>
      </c>
      <c r="K12" s="78" t="inlineStr">
        <is>
          <t>否</t>
        </is>
      </c>
      <c r="L12" s="78" t="n"/>
      <c r="M12" s="77" t="inlineStr">
        <is>
          <t>2025-12-04T00:00:00</t>
        </is>
      </c>
      <c r="N12" s="78" t="n"/>
      <c r="O12" s="77" t="inlineStr">
        <is>
          <t>/products/onepiece-official/opc-14-pack.png</t>
        </is>
      </c>
      <c r="P12" s="78" t="n"/>
      <c r="Q12" s="78" t="inlineStr">
        <is>
          <t>扩充包</t>
        </is>
      </c>
      <c r="R12" s="77" t="inlineStr">
        <is>
          <t>成本价/成本汇率待补录（Obsidian 暂无海贼王产品笔记）。 官方发售日 2025-12-04（来自 onepiece-cardgame.cn 官方数据）。 | 官方：苍海七杰。对照站内DB/集换社补库存价。</t>
        </is>
      </c>
      <c r="S12" s="77" t="n"/>
      <c r="T12" s="77" t="inlineStr">
        <is>
          <t>opc-14-cyan-sea-seven-box</t>
        </is>
      </c>
      <c r="U12" s="78" t="inlineStr">
        <is>
          <t>One Piece</t>
        </is>
      </c>
      <c r="V12" s="77" t="inlineStr">
        <is>
          <t>https://pimart-card-production.up.railway.app/products/opc-14-cyan-sea-seven-box</t>
        </is>
      </c>
    </row>
    <row r="13" hidden="1" outlineLevel="1" ht="17" customHeight="1" s="59">
      <c r="A13" s="80" t="inlineStr">
        <is>
          <t>OPC-14 苍海七杰 散包（简中）</t>
        </is>
      </c>
      <c r="B13" s="80" t="inlineStr">
        <is>
          <t>OPC-14</t>
        </is>
      </c>
      <c r="C13" s="81" t="inlineStr">
        <is>
          <t>原盒</t>
        </is>
      </c>
      <c r="D13" s="82" t="inlineStr">
        <is>
          <t>散包</t>
        </is>
      </c>
      <c r="E13" s="81" t="inlineStr">
        <is>
          <t>售罄</t>
        </is>
      </c>
      <c r="F13" s="81" t="n">
        <v>0</v>
      </c>
      <c r="G13" s="81" t="n">
        <v>200</v>
      </c>
      <c r="H13" s="81" t="n"/>
      <c r="I13" s="81" t="inlineStr">
        <is>
          <t>简中</t>
        </is>
      </c>
      <c r="J13" s="81" t="inlineStr">
        <is>
          <t>上架</t>
        </is>
      </c>
      <c r="K13" s="81" t="inlineStr">
        <is>
          <t>否</t>
        </is>
      </c>
      <c r="L13" s="81" t="n"/>
      <c r="M13" s="80" t="inlineStr">
        <is>
          <t>2025-12-04T00:00:00</t>
        </is>
      </c>
      <c r="N13" s="81" t="n"/>
      <c r="O13" s="80" t="inlineStr">
        <is>
          <t>/products/onepiece-official/opc-14-pack.png</t>
        </is>
      </c>
      <c r="P13" s="81" t="n"/>
      <c r="Q13" s="81" t="inlineStr">
        <is>
          <t>扩充包</t>
        </is>
      </c>
      <c r="R13" s="80" t="inlineStr">
        <is>
          <t>成本价/成本汇率待补录（Obsidian 暂无海贼王产品笔记）。 官方发售日 2025-12-04（来自 onepiece-cardgame.cn 官方数据）。 | 官方：苍海七杰。对照站内DB/集换社补库存价。</t>
        </is>
      </c>
      <c r="S13" s="80" t="n"/>
      <c r="T13" s="80" t="inlineStr">
        <is>
          <t>opc-14-cyan-sea-seven-box</t>
        </is>
      </c>
      <c r="U13" s="81" t="inlineStr">
        <is>
          <t>One Piece</t>
        </is>
      </c>
      <c r="V13" s="80" t="inlineStr">
        <is>
          <t>https://pimart-card-production.up.railway.app/products/opc-14-cyan-sea-seven-box</t>
        </is>
      </c>
    </row>
    <row r="14" hidden="1" outlineLevel="1" ht="17" customHeight="1" s="59">
      <c r="A14" s="80" t="inlineStr">
        <is>
          <t>OPC-14 苍海七杰 原箱（简中）</t>
        </is>
      </c>
      <c r="B14" s="80" t="inlineStr">
        <is>
          <t>OPC-14</t>
        </is>
      </c>
      <c r="C14" s="81" t="inlineStr">
        <is>
          <t>原盒</t>
        </is>
      </c>
      <c r="D14" s="82" t="inlineStr">
        <is>
          <t>原箱</t>
        </is>
      </c>
      <c r="E14" s="81" t="inlineStr">
        <is>
          <t>售罄</t>
        </is>
      </c>
      <c r="F14" s="81" t="n">
        <v>0</v>
      </c>
      <c r="G14" s="81" t="n">
        <v>66000</v>
      </c>
      <c r="H14" s="81" t="n"/>
      <c r="I14" s="81" t="inlineStr">
        <is>
          <t>简中</t>
        </is>
      </c>
      <c r="J14" s="81" t="inlineStr">
        <is>
          <t>上架</t>
        </is>
      </c>
      <c r="K14" s="81" t="inlineStr">
        <is>
          <t>否</t>
        </is>
      </c>
      <c r="L14" s="81" t="n"/>
      <c r="M14" s="80" t="inlineStr">
        <is>
          <t>2025-12-04T00:00:00</t>
        </is>
      </c>
      <c r="N14" s="81" t="n"/>
      <c r="O14" s="80" t="inlineStr">
        <is>
          <t>/products/onepiece-official/opc-14-pack.png</t>
        </is>
      </c>
      <c r="P14" s="81" t="n"/>
      <c r="Q14" s="81" t="inlineStr">
        <is>
          <t>扩充包</t>
        </is>
      </c>
      <c r="R14" s="80" t="inlineStr">
        <is>
          <t>成本价/成本汇率待补录（Obsidian 暂无海贼王产品笔记）。 官方发售日 2025-12-04（来自 onepiece-cardgame.cn 官方数据）。 | 官方：苍海七杰。对照站内DB/集换社补库存价。</t>
        </is>
      </c>
      <c r="S14" s="80" t="n"/>
      <c r="T14" s="80" t="inlineStr">
        <is>
          <t>opc-14-cyan-sea-seven-box</t>
        </is>
      </c>
      <c r="U14" s="81" t="inlineStr">
        <is>
          <t>One Piece</t>
        </is>
      </c>
      <c r="V14" s="80" t="inlineStr">
        <is>
          <t>https://pimart-card-production.up.railway.app/products/opc-14-cyan-sea-seven-box</t>
        </is>
      </c>
    </row>
    <row r="15" collapsed="1" ht="18" customHeight="1" s="59">
      <c r="A15" s="83" t="inlineStr">
        <is>
          <t>OPC-13 继承的意志 原盒（简中）</t>
        </is>
      </c>
      <c r="B15" s="83" t="inlineStr">
        <is>
          <t>OPC-13</t>
        </is>
      </c>
      <c r="C15" s="84" t="inlineStr">
        <is>
          <t>原盒</t>
        </is>
      </c>
      <c r="D15" s="79" t="inlineStr">
        <is>
          <t>原盒</t>
        </is>
      </c>
      <c r="E15" s="84" t="inlineStr">
        <is>
          <t>售罄</t>
        </is>
      </c>
      <c r="F15" s="84" t="n">
        <v>0</v>
      </c>
      <c r="G15" s="84" t="n">
        <v>5500</v>
      </c>
      <c r="H15" s="84" t="n"/>
      <c r="I15" s="84" t="inlineStr">
        <is>
          <t>简中</t>
        </is>
      </c>
      <c r="J15" s="84" t="inlineStr">
        <is>
          <t>未上架</t>
        </is>
      </c>
      <c r="K15" s="84" t="inlineStr">
        <is>
          <t>否</t>
        </is>
      </c>
      <c r="L15" s="84" t="n"/>
      <c r="M15" s="83" t="inlineStr">
        <is>
          <t>2025-09-16T00:00:00</t>
        </is>
      </c>
      <c r="N15" s="84" t="n"/>
      <c r="O15" s="83" t="inlineStr">
        <is>
          <t>/products/onepiece-official/opc-13-pack.png</t>
        </is>
      </c>
      <c r="P15" s="84" t="n"/>
      <c r="Q15" s="84" t="inlineStr">
        <is>
          <t>扩充包</t>
        </is>
      </c>
      <c r="R15" s="83" t="inlineStr">
        <is>
          <t>官方中文名：继承的意志。简中定价/库存待对照集换社与官网补录。</t>
        </is>
      </c>
      <c r="S15" s="83" t="n"/>
      <c r="T15" s="83" t="n"/>
      <c r="U15" s="84" t="inlineStr">
        <is>
          <t>海贼王</t>
        </is>
      </c>
      <c r="V15" s="83" t="n"/>
    </row>
    <row r="16" hidden="1" outlineLevel="1" ht="17" customHeight="1" s="59">
      <c r="A16" s="80" t="inlineStr">
        <is>
          <t>OPC-13 继承的意志 散包（简中）</t>
        </is>
      </c>
      <c r="B16" s="80" t="inlineStr">
        <is>
          <t>OPC-13</t>
        </is>
      </c>
      <c r="C16" s="81" t="inlineStr">
        <is>
          <t>原盒</t>
        </is>
      </c>
      <c r="D16" s="82" t="inlineStr">
        <is>
          <t>散包</t>
        </is>
      </c>
      <c r="E16" s="81" t="inlineStr">
        <is>
          <t>售罄</t>
        </is>
      </c>
      <c r="F16" s="81" t="n">
        <v>0</v>
      </c>
      <c r="G16" s="81" t="n">
        <v>200</v>
      </c>
      <c r="H16" s="81" t="n"/>
      <c r="I16" s="81" t="inlineStr">
        <is>
          <t>简中</t>
        </is>
      </c>
      <c r="J16" s="81" t="inlineStr">
        <is>
          <t>未上架</t>
        </is>
      </c>
      <c r="K16" s="81" t="inlineStr">
        <is>
          <t>否</t>
        </is>
      </c>
      <c r="L16" s="81" t="n"/>
      <c r="M16" s="80" t="inlineStr">
        <is>
          <t>2025-09-16T00:00:00</t>
        </is>
      </c>
      <c r="N16" s="81" t="n"/>
      <c r="O16" s="80" t="inlineStr">
        <is>
          <t>/products/onepiece-official/opc-13-pack.png</t>
        </is>
      </c>
      <c r="P16" s="81" t="n"/>
      <c r="Q16" s="81" t="inlineStr">
        <is>
          <t>扩充包</t>
        </is>
      </c>
      <c r="R16" s="80" t="inlineStr">
        <is>
          <t>官方 onepiece-cardgame.cn 已发售（主线编号弹，本店缺失），本店未查到对应商品页，暂未上架。价格/库存/成本待你核实补录。 | 官方：继承的意志。对照站内DB/集换社补库存价。</t>
        </is>
      </c>
      <c r="S16" s="80" t="n"/>
      <c r="T16" s="80" t="n"/>
      <c r="U16" s="81" t="inlineStr">
        <is>
          <t>海贼王</t>
        </is>
      </c>
      <c r="V16" s="80" t="n"/>
    </row>
    <row r="17" hidden="1" outlineLevel="1" ht="17" customHeight="1" s="59">
      <c r="A17" s="80" t="inlineStr">
        <is>
          <t>OPC-13 继承的意志 原箱（简中）</t>
        </is>
      </c>
      <c r="B17" s="80" t="inlineStr">
        <is>
          <t>OPC-13</t>
        </is>
      </c>
      <c r="C17" s="81" t="inlineStr">
        <is>
          <t>原盒</t>
        </is>
      </c>
      <c r="D17" s="82" t="inlineStr">
        <is>
          <t>原箱</t>
        </is>
      </c>
      <c r="E17" s="81" t="inlineStr">
        <is>
          <t>售罄</t>
        </is>
      </c>
      <c r="F17" s="81" t="n">
        <v>0</v>
      </c>
      <c r="G17" s="81" t="n">
        <v>66000</v>
      </c>
      <c r="H17" s="81" t="n"/>
      <c r="I17" s="81" t="inlineStr">
        <is>
          <t>简中</t>
        </is>
      </c>
      <c r="J17" s="81" t="inlineStr">
        <is>
          <t>未上架</t>
        </is>
      </c>
      <c r="K17" s="81" t="inlineStr">
        <is>
          <t>否</t>
        </is>
      </c>
      <c r="L17" s="81" t="n"/>
      <c r="M17" s="80" t="inlineStr">
        <is>
          <t>2025-09-16T00:00:00</t>
        </is>
      </c>
      <c r="N17" s="81" t="n"/>
      <c r="O17" s="80" t="inlineStr">
        <is>
          <t>/products/onepiece-official/opc-13-pack.png</t>
        </is>
      </c>
      <c r="P17" s="81" t="n"/>
      <c r="Q17" s="81" t="inlineStr">
        <is>
          <t>扩充包</t>
        </is>
      </c>
      <c r="R17" s="80" t="inlineStr">
        <is>
          <t>官方 onepiece-cardgame.cn 已发售（主线编号弹，本店缺失），本店未查到对应商品页，暂未上架。价格/库存/成本待你核实补录。 | 官方：继承的意志。对照站内DB/集换社补库存价。</t>
        </is>
      </c>
      <c r="S17" s="80" t="n"/>
      <c r="T17" s="80" t="n"/>
      <c r="U17" s="81" t="inlineStr">
        <is>
          <t>海贼王</t>
        </is>
      </c>
      <c r="V17" s="80" t="n"/>
    </row>
    <row r="18" collapsed="1" ht="18" customHeight="1" s="59">
      <c r="A18" s="77" t="inlineStr">
        <is>
          <t>OPC-12 师徒之绊 原盒（简中）</t>
        </is>
      </c>
      <c r="B18" s="77" t="inlineStr">
        <is>
          <t>OPC-12</t>
        </is>
      </c>
      <c r="C18" s="78" t="inlineStr">
        <is>
          <t>原盒</t>
        </is>
      </c>
      <c r="D18" s="79" t="inlineStr">
        <is>
          <t>原盒</t>
        </is>
      </c>
      <c r="E18" s="78" t="inlineStr">
        <is>
          <t>售罄</t>
        </is>
      </c>
      <c r="F18" s="78" t="n">
        <v>0</v>
      </c>
      <c r="G18" s="78" t="n">
        <v>5500</v>
      </c>
      <c r="H18" s="78" t="n"/>
      <c r="I18" s="78" t="inlineStr">
        <is>
          <t>简中</t>
        </is>
      </c>
      <c r="J18" s="78" t="inlineStr">
        <is>
          <t>未上架</t>
        </is>
      </c>
      <c r="K18" s="78" t="inlineStr">
        <is>
          <t>否</t>
        </is>
      </c>
      <c r="L18" s="78" t="n"/>
      <c r="M18" s="77" t="inlineStr">
        <is>
          <t>2025-07-17T00:00:00</t>
        </is>
      </c>
      <c r="N18" s="78" t="n"/>
      <c r="O18" s="77" t="inlineStr">
        <is>
          <t>/products/onepiece-official/opc-12-pack.png</t>
        </is>
      </c>
      <c r="P18" s="78" t="n"/>
      <c r="Q18" s="78" t="inlineStr">
        <is>
          <t>扩充包</t>
        </is>
      </c>
      <c r="R18" s="77" t="inlineStr">
        <is>
          <t>官方中文名：师徒之绊。简中定价/库存待对照集换社与官网补录。</t>
        </is>
      </c>
      <c r="S18" s="77" t="n"/>
      <c r="T18" s="77" t="n"/>
      <c r="U18" s="78" t="inlineStr">
        <is>
          <t>海贼王</t>
        </is>
      </c>
      <c r="V18" s="77" t="n"/>
    </row>
    <row r="19" hidden="1" outlineLevel="1" ht="17" customHeight="1" s="59">
      <c r="A19" s="80" t="inlineStr">
        <is>
          <t>OPC-12 师徒之绊 散包（简中）</t>
        </is>
      </c>
      <c r="B19" s="80" t="inlineStr">
        <is>
          <t>OPC-12</t>
        </is>
      </c>
      <c r="C19" s="81" t="inlineStr">
        <is>
          <t>原盒</t>
        </is>
      </c>
      <c r="D19" s="82" t="inlineStr">
        <is>
          <t>散包</t>
        </is>
      </c>
      <c r="E19" s="81" t="inlineStr">
        <is>
          <t>售罄</t>
        </is>
      </c>
      <c r="F19" s="81" t="n">
        <v>0</v>
      </c>
      <c r="G19" s="81" t="n">
        <v>200</v>
      </c>
      <c r="H19" s="81" t="n"/>
      <c r="I19" s="81" t="inlineStr">
        <is>
          <t>简中</t>
        </is>
      </c>
      <c r="J19" s="81" t="inlineStr">
        <is>
          <t>未上架</t>
        </is>
      </c>
      <c r="K19" s="81" t="inlineStr">
        <is>
          <t>否</t>
        </is>
      </c>
      <c r="L19" s="81" t="n"/>
      <c r="M19" s="80" t="inlineStr">
        <is>
          <t>2025-07-17T00:00:00</t>
        </is>
      </c>
      <c r="N19" s="81" t="n"/>
      <c r="O19" s="80" t="inlineStr">
        <is>
          <t>/products/onepiece-official/opc-12-pack.png</t>
        </is>
      </c>
      <c r="P19" s="81" t="n"/>
      <c r="Q19" s="81" t="inlineStr">
        <is>
          <t>扩充包</t>
        </is>
      </c>
      <c r="R19" s="80" t="inlineStr">
        <is>
          <t>官方 onepiece-cardgame.cn 已发售（主线编号弹，本店缺失），本店未查到对应商品页，暂未上架。价格/库存/成本待你核实补录。 | 官方：师徒之绊。对照站内DB/集换社补库存价。</t>
        </is>
      </c>
      <c r="S19" s="80" t="n"/>
      <c r="T19" s="80" t="n"/>
      <c r="U19" s="81" t="inlineStr">
        <is>
          <t>海贼王</t>
        </is>
      </c>
      <c r="V19" s="80" t="n"/>
    </row>
    <row r="20" hidden="1" outlineLevel="1" ht="17" customHeight="1" s="59">
      <c r="A20" s="80" t="inlineStr">
        <is>
          <t>OPC-12 师徒之绊 原箱（简中）</t>
        </is>
      </c>
      <c r="B20" s="80" t="inlineStr">
        <is>
          <t>OPC-12</t>
        </is>
      </c>
      <c r="C20" s="81" t="inlineStr">
        <is>
          <t>原盒</t>
        </is>
      </c>
      <c r="D20" s="82" t="inlineStr">
        <is>
          <t>原箱</t>
        </is>
      </c>
      <c r="E20" s="81" t="inlineStr">
        <is>
          <t>售罄</t>
        </is>
      </c>
      <c r="F20" s="81" t="n">
        <v>0</v>
      </c>
      <c r="G20" s="81" t="n">
        <v>66000</v>
      </c>
      <c r="H20" s="81" t="n"/>
      <c r="I20" s="81" t="inlineStr">
        <is>
          <t>简中</t>
        </is>
      </c>
      <c r="J20" s="81" t="inlineStr">
        <is>
          <t>未上架</t>
        </is>
      </c>
      <c r="K20" s="81" t="inlineStr">
        <is>
          <t>否</t>
        </is>
      </c>
      <c r="L20" s="81" t="n"/>
      <c r="M20" s="80" t="inlineStr">
        <is>
          <t>2025-07-17T00:00:00</t>
        </is>
      </c>
      <c r="N20" s="81" t="n"/>
      <c r="O20" s="80" t="inlineStr">
        <is>
          <t>/products/onepiece-official/opc-12-pack.png</t>
        </is>
      </c>
      <c r="P20" s="81" t="n"/>
      <c r="Q20" s="81" t="inlineStr">
        <is>
          <t>扩充包</t>
        </is>
      </c>
      <c r="R20" s="80" t="inlineStr">
        <is>
          <t>官方 onepiece-cardgame.cn 已发售（主线编号弹，本店缺失），本店未查到对应商品页，暂未上架。价格/库存/成本待你核实补录。 | 官方：师徒之绊。对照站内DB/集换社补库存价。</t>
        </is>
      </c>
      <c r="S20" s="80" t="n"/>
      <c r="T20" s="80" t="n"/>
      <c r="U20" s="81" t="inlineStr">
        <is>
          <t>海贼王</t>
        </is>
      </c>
      <c r="V20" s="80" t="n"/>
    </row>
    <row r="21" collapsed="1" ht="18" customHeight="1" s="59">
      <c r="A21" s="83" t="inlineStr">
        <is>
          <t>OPC-11 神速之拳 原盒（简中）</t>
        </is>
      </c>
      <c r="B21" s="83" t="inlineStr">
        <is>
          <t>OPC-11</t>
        </is>
      </c>
      <c r="C21" s="84" t="inlineStr">
        <is>
          <t>原盒</t>
        </is>
      </c>
      <c r="D21" s="79" t="inlineStr">
        <is>
          <t>原盒</t>
        </is>
      </c>
      <c r="E21" s="84" t="inlineStr">
        <is>
          <t>在售</t>
        </is>
      </c>
      <c r="F21" s="84" t="n">
        <v>100</v>
      </c>
      <c r="G21" s="84" t="n">
        <v>5500</v>
      </c>
      <c r="H21" s="84" t="n"/>
      <c r="I21" s="84" t="inlineStr">
        <is>
          <t>简中</t>
        </is>
      </c>
      <c r="J21" s="84" t="inlineStr">
        <is>
          <t>上架</t>
        </is>
      </c>
      <c r="K21" s="84" t="inlineStr">
        <is>
          <t>否</t>
        </is>
      </c>
      <c r="L21" s="84" t="n"/>
      <c r="M21" s="83" t="inlineStr">
        <is>
          <t>2025-04-09T00:00:00</t>
        </is>
      </c>
      <c r="N21" s="84" t="n"/>
      <c r="O21" s="83" t="inlineStr">
        <is>
          <t>/products/onepiece-official/opc-11-pack.png</t>
        </is>
      </c>
      <c r="P21" s="84" t="n"/>
      <c r="Q21" s="84" t="inlineStr">
        <is>
          <t>扩充包</t>
        </is>
      </c>
      <c r="R21" s="83" t="inlineStr">
        <is>
          <t>成本价/成本汇率待补录（Obsidian 暂无海贼王产品笔记）。网站显示「有货」但未展示精确库存数字，请手动核实后填入。 官方发售日 2025-04-09（来自 onepiece-cardgame.cn 官方数据）。 | 官方：神速之拳。对照站内DB/集换社补库存价。</t>
        </is>
      </c>
      <c r="S21" s="83" t="n"/>
      <c r="T21" s="83" t="inlineStr">
        <is>
          <t>opc-11-divine-speed-box</t>
        </is>
      </c>
      <c r="U21" s="84" t="inlineStr">
        <is>
          <t>One Piece</t>
        </is>
      </c>
      <c r="V21" s="83" t="inlineStr">
        <is>
          <t>https://pimart-card-production.up.railway.app/products/opc-11-divine-speed-box</t>
        </is>
      </c>
    </row>
    <row r="22" hidden="1" outlineLevel="1" ht="17" customHeight="1" s="59">
      <c r="A22" s="80" t="inlineStr">
        <is>
          <t>OPC-11 神速之拳 散包（简中）</t>
        </is>
      </c>
      <c r="B22" s="80" t="inlineStr">
        <is>
          <t>OPC-11</t>
        </is>
      </c>
      <c r="C22" s="81" t="inlineStr">
        <is>
          <t>原盒</t>
        </is>
      </c>
      <c r="D22" s="82" t="inlineStr">
        <is>
          <t>散包</t>
        </is>
      </c>
      <c r="E22" s="81" t="inlineStr">
        <is>
          <t>在售</t>
        </is>
      </c>
      <c r="F22" s="81" t="n">
        <v>400</v>
      </c>
      <c r="G22" s="81" t="n">
        <v>200</v>
      </c>
      <c r="H22" s="81" t="n"/>
      <c r="I22" s="81" t="inlineStr">
        <is>
          <t>简中</t>
        </is>
      </c>
      <c r="J22" s="81" t="inlineStr">
        <is>
          <t>上架</t>
        </is>
      </c>
      <c r="K22" s="81" t="inlineStr">
        <is>
          <t>否</t>
        </is>
      </c>
      <c r="L22" s="81" t="n"/>
      <c r="M22" s="80" t="inlineStr">
        <is>
          <t>2025-04-09T00:00:00</t>
        </is>
      </c>
      <c r="N22" s="81" t="n"/>
      <c r="O22" s="80" t="inlineStr">
        <is>
          <t>/products/onepiece-official/opc-11-pack.png</t>
        </is>
      </c>
      <c r="P22" s="81" t="n"/>
      <c r="Q22" s="81" t="inlineStr">
        <is>
          <t>扩充包</t>
        </is>
      </c>
      <c r="R22" s="80" t="inlineStr">
        <is>
          <t>成本价/成本汇率待补录（Obsidian 暂无海贼王产品笔记）。网站显示「有货」但未展示精确库存数字，请手动核实后填入。 官方发售日 2025-04-09（来自 onepiece-cardgame.cn 官方数据）。 | 官方：神速之拳。对照站内DB/集换社补库存价。</t>
        </is>
      </c>
      <c r="S22" s="80" t="n"/>
      <c r="T22" s="80" t="inlineStr">
        <is>
          <t>opc-11-divine-speed-box</t>
        </is>
      </c>
      <c r="U22" s="81" t="inlineStr">
        <is>
          <t>One Piece</t>
        </is>
      </c>
      <c r="V22" s="80" t="inlineStr">
        <is>
          <t>https://pimart-card-production.up.railway.app/products/opc-11-divine-speed-box</t>
        </is>
      </c>
    </row>
    <row r="23" hidden="1" outlineLevel="1" ht="17" customHeight="1" s="59">
      <c r="A23" s="80" t="inlineStr">
        <is>
          <t>OPC-11 神速之拳 原箱（简中）</t>
        </is>
      </c>
      <c r="B23" s="80" t="inlineStr">
        <is>
          <t>OPC-11</t>
        </is>
      </c>
      <c r="C23" s="81" t="inlineStr">
        <is>
          <t>原盒</t>
        </is>
      </c>
      <c r="D23" s="82" t="inlineStr">
        <is>
          <t>原箱</t>
        </is>
      </c>
      <c r="E23" s="81" t="inlineStr">
        <is>
          <t>在售</t>
        </is>
      </c>
      <c r="F23" s="81" t="n">
        <v>8</v>
      </c>
      <c r="G23" s="81" t="n">
        <v>66000</v>
      </c>
      <c r="H23" s="81" t="n"/>
      <c r="I23" s="81" t="inlineStr">
        <is>
          <t>简中</t>
        </is>
      </c>
      <c r="J23" s="81" t="inlineStr">
        <is>
          <t>上架</t>
        </is>
      </c>
      <c r="K23" s="81" t="inlineStr">
        <is>
          <t>否</t>
        </is>
      </c>
      <c r="L23" s="81" t="n"/>
      <c r="M23" s="80" t="inlineStr">
        <is>
          <t>2025-04-09T00:00:00</t>
        </is>
      </c>
      <c r="N23" s="81" t="n"/>
      <c r="O23" s="80" t="inlineStr">
        <is>
          <t>/products/onepiece-official/opc-11-pack.png</t>
        </is>
      </c>
      <c r="P23" s="81" t="n"/>
      <c r="Q23" s="81" t="inlineStr">
        <is>
          <t>扩充包</t>
        </is>
      </c>
      <c r="R23" s="80" t="inlineStr">
        <is>
          <t>成本价/成本汇率待补录（Obsidian 暂无海贼王产品笔记）。网站显示「有货」但未展示精确库存数字，请手动核实后填入。 官方发售日 2025-04-09（来自 onepiece-cardgame.cn 官方数据）。 | 官方：神速之拳。对照站内DB/集换社补库存价。</t>
        </is>
      </c>
      <c r="S23" s="80" t="n"/>
      <c r="T23" s="80" t="inlineStr">
        <is>
          <t>opc-11-divine-speed-box</t>
        </is>
      </c>
      <c r="U23" s="81" t="inlineStr">
        <is>
          <t>One Piece</t>
        </is>
      </c>
      <c r="V23" s="80" t="inlineStr">
        <is>
          <t>https://pimart-card-production.up.railway.app/products/opc-11-divine-speed-box</t>
        </is>
      </c>
    </row>
    <row r="24" collapsed="1" ht="18" customHeight="1" s="59">
      <c r="A24" s="77" t="inlineStr">
        <is>
          <t>OPC-10 王之血脉 原盒（简中）</t>
        </is>
      </c>
      <c r="B24" s="77" t="inlineStr">
        <is>
          <t>OPC-10</t>
        </is>
      </c>
      <c r="C24" s="78" t="inlineStr">
        <is>
          <t>原盒</t>
        </is>
      </c>
      <c r="D24" s="79" t="inlineStr">
        <is>
          <t>原盒</t>
        </is>
      </c>
      <c r="E24" s="78" t="inlineStr">
        <is>
          <t>在售</t>
        </is>
      </c>
      <c r="F24" s="78" t="n">
        <v>100</v>
      </c>
      <c r="G24" s="78" t="n">
        <v>5500</v>
      </c>
      <c r="H24" s="78" t="n"/>
      <c r="I24" s="78" t="inlineStr">
        <is>
          <t>简中</t>
        </is>
      </c>
      <c r="J24" s="78" t="inlineStr">
        <is>
          <t>上架</t>
        </is>
      </c>
      <c r="K24" s="78" t="inlineStr">
        <is>
          <t>否</t>
        </is>
      </c>
      <c r="L24" s="78" t="n"/>
      <c r="M24" s="77" t="inlineStr">
        <is>
          <t>2025-01-16T00:00:00</t>
        </is>
      </c>
      <c r="N24" s="78" t="n"/>
      <c r="O24" s="77" t="inlineStr">
        <is>
          <t>/products/onepiece-official/opc-10-pack.png</t>
        </is>
      </c>
      <c r="P24" s="78" t="n"/>
      <c r="Q24" s="78" t="inlineStr">
        <is>
          <t>扩充包</t>
        </is>
      </c>
      <c r="R24" s="77" t="inlineStr">
        <is>
          <t>成本价/成本汇率待补录（Obsidian 暂无海贼王产品笔记）。网站显示「有货」但未展示精确库存数字，请手动核实后填入。 官方发售日 2025-01-16（来自 onepiece-cardgame.cn 官方数据）。 | 官方：王之血脉。对照站内DB/集换社补库存价。</t>
        </is>
      </c>
      <c r="S24" s="77" t="n"/>
      <c r="T24" s="77" t="inlineStr">
        <is>
          <t>opc-10-royal-blood-box</t>
        </is>
      </c>
      <c r="U24" s="78" t="inlineStr">
        <is>
          <t>One Piece</t>
        </is>
      </c>
      <c r="V24" s="77" t="inlineStr">
        <is>
          <t>https://pimart-card-production.up.railway.app/products/opc-10-royal-blood-box</t>
        </is>
      </c>
    </row>
    <row r="25" hidden="1" outlineLevel="1" ht="17" customHeight="1" s="59">
      <c r="A25" s="80" t="inlineStr">
        <is>
          <t>OPC-10 王之血脉 散包（简中）</t>
        </is>
      </c>
      <c r="B25" s="80" t="inlineStr">
        <is>
          <t>OPC-10</t>
        </is>
      </c>
      <c r="C25" s="81" t="inlineStr">
        <is>
          <t>原盒</t>
        </is>
      </c>
      <c r="D25" s="82" t="inlineStr">
        <is>
          <t>散包</t>
        </is>
      </c>
      <c r="E25" s="81" t="inlineStr">
        <is>
          <t>在售</t>
        </is>
      </c>
      <c r="F25" s="81" t="n">
        <v>400</v>
      </c>
      <c r="G25" s="81" t="n">
        <v>200</v>
      </c>
      <c r="H25" s="81" t="n"/>
      <c r="I25" s="81" t="inlineStr">
        <is>
          <t>简中</t>
        </is>
      </c>
      <c r="J25" s="81" t="inlineStr">
        <is>
          <t>上架</t>
        </is>
      </c>
      <c r="K25" s="81" t="inlineStr">
        <is>
          <t>否</t>
        </is>
      </c>
      <c r="L25" s="81" t="n"/>
      <c r="M25" s="80" t="inlineStr">
        <is>
          <t>2025-01-16T00:00:00</t>
        </is>
      </c>
      <c r="N25" s="81" t="n"/>
      <c r="O25" s="80" t="inlineStr">
        <is>
          <t>/products/onepiece-official/opc-10-pack.png</t>
        </is>
      </c>
      <c r="P25" s="81" t="n"/>
      <c r="Q25" s="81" t="inlineStr">
        <is>
          <t>扩充包</t>
        </is>
      </c>
      <c r="R25" s="80" t="inlineStr">
        <is>
          <t>成本价/成本汇率待补录（Obsidian 暂无海贼王产品笔记）。网站显示「有货」但未展示精确库存数字，请手动核实后填入。 官方发售日 2025-01-16（来自 onepiece-cardgame.cn 官方数据）。 | 官方：王之血脉。对照站内DB/集换社补库存价。</t>
        </is>
      </c>
      <c r="S25" s="80" t="n"/>
      <c r="T25" s="80" t="inlineStr">
        <is>
          <t>opc-10-royal-blood-box</t>
        </is>
      </c>
      <c r="U25" s="81" t="inlineStr">
        <is>
          <t>One Piece</t>
        </is>
      </c>
      <c r="V25" s="80" t="inlineStr">
        <is>
          <t>https://pimart-card-production.up.railway.app/products/opc-10-royal-blood-box</t>
        </is>
      </c>
    </row>
    <row r="26" hidden="1" outlineLevel="1" ht="17" customHeight="1" s="59">
      <c r="A26" s="80" t="inlineStr">
        <is>
          <t>OPC-10 王之血脉 原箱（简中）</t>
        </is>
      </c>
      <c r="B26" s="80" t="inlineStr">
        <is>
          <t>OPC-10</t>
        </is>
      </c>
      <c r="C26" s="81" t="inlineStr">
        <is>
          <t>原盒</t>
        </is>
      </c>
      <c r="D26" s="82" t="inlineStr">
        <is>
          <t>原箱</t>
        </is>
      </c>
      <c r="E26" s="81" t="inlineStr">
        <is>
          <t>在售</t>
        </is>
      </c>
      <c r="F26" s="81" t="n">
        <v>8</v>
      </c>
      <c r="G26" s="81" t="n">
        <v>66000</v>
      </c>
      <c r="H26" s="81" t="n"/>
      <c r="I26" s="81" t="inlineStr">
        <is>
          <t>简中</t>
        </is>
      </c>
      <c r="J26" s="81" t="inlineStr">
        <is>
          <t>上架</t>
        </is>
      </c>
      <c r="K26" s="81" t="inlineStr">
        <is>
          <t>否</t>
        </is>
      </c>
      <c r="L26" s="81" t="n"/>
      <c r="M26" s="80" t="inlineStr">
        <is>
          <t>2025-01-16T00:00:00</t>
        </is>
      </c>
      <c r="N26" s="81" t="n"/>
      <c r="O26" s="80" t="inlineStr">
        <is>
          <t>/products/onepiece-official/opc-10-pack.png</t>
        </is>
      </c>
      <c r="P26" s="81" t="n"/>
      <c r="Q26" s="81" t="inlineStr">
        <is>
          <t>扩充包</t>
        </is>
      </c>
      <c r="R26" s="80" t="inlineStr">
        <is>
          <t>成本价/成本汇率待补录（Obsidian 暂无海贼王产品笔记）。网站显示「有货」但未展示精确库存数字，请手动核实后填入。 官方发售日 2025-01-16（来自 onepiece-cardgame.cn 官方数据）。 | 官方：王之血脉。对照站内DB/集换社补库存价。</t>
        </is>
      </c>
      <c r="S26" s="80" t="n"/>
      <c r="T26" s="80" t="inlineStr">
        <is>
          <t>opc-10-royal-blood-box</t>
        </is>
      </c>
      <c r="U26" s="81" t="inlineStr">
        <is>
          <t>One Piece</t>
        </is>
      </c>
      <c r="V26" s="80" t="inlineStr">
        <is>
          <t>https://pimart-card-production.up.railway.app/products/opc-10-royal-blood-box</t>
        </is>
      </c>
    </row>
    <row r="27" collapsed="1" ht="18" customHeight="1" s="59">
      <c r="A27" s="83" t="inlineStr">
        <is>
          <t>OPC-09 新帝降临 原盒（简中）</t>
        </is>
      </c>
      <c r="B27" s="83" t="inlineStr">
        <is>
          <t>OPC-09</t>
        </is>
      </c>
      <c r="C27" s="84" t="inlineStr">
        <is>
          <t>原盒</t>
        </is>
      </c>
      <c r="D27" s="79" t="inlineStr">
        <is>
          <t>原盒</t>
        </is>
      </c>
      <c r="E27" s="84" t="inlineStr">
        <is>
          <t>在售</t>
        </is>
      </c>
      <c r="F27" s="84" t="n">
        <v>100</v>
      </c>
      <c r="G27" s="84" t="n">
        <v>5500</v>
      </c>
      <c r="H27" s="84" t="n"/>
      <c r="I27" s="84" t="inlineStr">
        <is>
          <t>简中</t>
        </is>
      </c>
      <c r="J27" s="84" t="inlineStr">
        <is>
          <t>上架</t>
        </is>
      </c>
      <c r="K27" s="84" t="inlineStr">
        <is>
          <t>否</t>
        </is>
      </c>
      <c r="L27" s="84" t="n"/>
      <c r="M27" s="83" t="inlineStr">
        <is>
          <t>2024-10-18T00:00:00</t>
        </is>
      </c>
      <c r="N27" s="84" t="n"/>
      <c r="O27" s="83" t="inlineStr">
        <is>
          <t>/products/onepiece-official/opc-09-pack.png</t>
        </is>
      </c>
      <c r="P27" s="84" t="n"/>
      <c r="Q27" s="84" t="inlineStr">
        <is>
          <t>扩充包</t>
        </is>
      </c>
      <c r="R27" s="83" t="inlineStr">
        <is>
          <t>成本价/成本汇率待补录（Obsidian 暂无海贼王产品笔记）。网站显示「有货」但未展示精确库存数字，请手动核实后填入。 官方发售日 2024-10-18（来自 onepiece-cardgame.cn 官方数据）。 | 官方：新帝降临。对照站内DB/集换社补库存价。</t>
        </is>
      </c>
      <c r="S27" s="83" t="n"/>
      <c r="T27" s="83" t="inlineStr">
        <is>
          <t>opc-09-emperors-new-world-box</t>
        </is>
      </c>
      <c r="U27" s="84" t="inlineStr">
        <is>
          <t>One Piece</t>
        </is>
      </c>
      <c r="V27" s="83" t="inlineStr">
        <is>
          <t>https://pimart-card-production.up.railway.app/products/opc-09-emperors-new-world-box</t>
        </is>
      </c>
    </row>
    <row r="28" hidden="1" outlineLevel="1" ht="17" customHeight="1" s="59">
      <c r="A28" s="80" t="inlineStr">
        <is>
          <t>OPC-09 新帝降临 散包（简中）</t>
        </is>
      </c>
      <c r="B28" s="80" t="inlineStr">
        <is>
          <t>OPC-09</t>
        </is>
      </c>
      <c r="C28" s="81" t="inlineStr">
        <is>
          <t>原盒</t>
        </is>
      </c>
      <c r="D28" s="82" t="inlineStr">
        <is>
          <t>散包</t>
        </is>
      </c>
      <c r="E28" s="81" t="inlineStr">
        <is>
          <t>在售</t>
        </is>
      </c>
      <c r="F28" s="81" t="n">
        <v>400</v>
      </c>
      <c r="G28" s="81" t="n">
        <v>200</v>
      </c>
      <c r="H28" s="81" t="n"/>
      <c r="I28" s="81" t="inlineStr">
        <is>
          <t>简中</t>
        </is>
      </c>
      <c r="J28" s="81" t="inlineStr">
        <is>
          <t>上架</t>
        </is>
      </c>
      <c r="K28" s="81" t="inlineStr">
        <is>
          <t>否</t>
        </is>
      </c>
      <c r="L28" s="81" t="n"/>
      <c r="M28" s="80" t="inlineStr">
        <is>
          <t>2024-10-18T00:00:00</t>
        </is>
      </c>
      <c r="N28" s="81" t="n"/>
      <c r="O28" s="80" t="inlineStr">
        <is>
          <t>/products/onepiece-official/opc-09-pack.png</t>
        </is>
      </c>
      <c r="P28" s="81" t="n"/>
      <c r="Q28" s="81" t="inlineStr">
        <is>
          <t>扩充包</t>
        </is>
      </c>
      <c r="R28" s="80" t="inlineStr">
        <is>
          <t>成本价/成本汇率待补录（Obsidian 暂无海贼王产品笔记）。网站显示「有货」但未展示精确库存数字，请手动核实后填入。 官方发售日 2024-10-18（来自 onepiece-cardgame.cn 官方数据）。 | 官方：新帝降临。对照站内DB/集换社补库存价。</t>
        </is>
      </c>
      <c r="S28" s="80" t="n"/>
      <c r="T28" s="80" t="inlineStr">
        <is>
          <t>opc-09-emperors-new-world-box</t>
        </is>
      </c>
      <c r="U28" s="81" t="inlineStr">
        <is>
          <t>One Piece</t>
        </is>
      </c>
      <c r="V28" s="80" t="inlineStr">
        <is>
          <t>https://pimart-card-production.up.railway.app/products/opc-09-emperors-new-world-box</t>
        </is>
      </c>
    </row>
    <row r="29" hidden="1" outlineLevel="1" ht="17" customHeight="1" s="59">
      <c r="A29" s="80" t="inlineStr">
        <is>
          <t>OPC-09 新帝降临 原箱（简中）</t>
        </is>
      </c>
      <c r="B29" s="80" t="inlineStr">
        <is>
          <t>OPC-09</t>
        </is>
      </c>
      <c r="C29" s="81" t="inlineStr">
        <is>
          <t>原盒</t>
        </is>
      </c>
      <c r="D29" s="82" t="inlineStr">
        <is>
          <t>原箱</t>
        </is>
      </c>
      <c r="E29" s="81" t="inlineStr">
        <is>
          <t>在售</t>
        </is>
      </c>
      <c r="F29" s="81" t="n">
        <v>8</v>
      </c>
      <c r="G29" s="81" t="n">
        <v>66000</v>
      </c>
      <c r="H29" s="81" t="n"/>
      <c r="I29" s="81" t="inlineStr">
        <is>
          <t>简中</t>
        </is>
      </c>
      <c r="J29" s="81" t="inlineStr">
        <is>
          <t>上架</t>
        </is>
      </c>
      <c r="K29" s="81" t="inlineStr">
        <is>
          <t>否</t>
        </is>
      </c>
      <c r="L29" s="81" t="n"/>
      <c r="M29" s="80" t="inlineStr">
        <is>
          <t>2024-10-18T00:00:00</t>
        </is>
      </c>
      <c r="N29" s="81" t="n"/>
      <c r="O29" s="80" t="inlineStr">
        <is>
          <t>/products/onepiece-official/opc-09-pack.png</t>
        </is>
      </c>
      <c r="P29" s="81" t="n"/>
      <c r="Q29" s="81" t="inlineStr">
        <is>
          <t>扩充包</t>
        </is>
      </c>
      <c r="R29" s="80" t="inlineStr">
        <is>
          <t>成本价/成本汇率待补录（Obsidian 暂无海贼王产品笔记）。网站显示「有货」但未展示精确库存数字，请手动核实后填入。 官方发售日 2024-10-18（来自 onepiece-cardgame.cn 官方数据）。 | 官方：新帝降临。对照站内DB/集换社补库存价。</t>
        </is>
      </c>
      <c r="S29" s="80" t="n"/>
      <c r="T29" s="80" t="inlineStr">
        <is>
          <t>opc-09-emperors-new-world-box</t>
        </is>
      </c>
      <c r="U29" s="81" t="inlineStr">
        <is>
          <t>One Piece</t>
        </is>
      </c>
      <c r="V29" s="80" t="inlineStr">
        <is>
          <t>https://pimart-card-production.up.railway.app/products/opc-09-emperors-new-world-box</t>
        </is>
      </c>
    </row>
    <row r="30" collapsed="1" ht="18" customHeight="1" s="59">
      <c r="A30" s="77" t="inlineStr">
        <is>
          <t>OPC-08 双子传说 原盒（简中）</t>
        </is>
      </c>
      <c r="B30" s="77" t="inlineStr">
        <is>
          <t>OPC-08</t>
        </is>
      </c>
      <c r="C30" s="78" t="inlineStr">
        <is>
          <t>原盒</t>
        </is>
      </c>
      <c r="D30" s="79" t="inlineStr">
        <is>
          <t>原盒</t>
        </is>
      </c>
      <c r="E30" s="78" t="inlineStr">
        <is>
          <t>在售</t>
        </is>
      </c>
      <c r="F30" s="78" t="n">
        <v>100</v>
      </c>
      <c r="G30" s="78" t="n">
        <v>5800</v>
      </c>
      <c r="H30" s="78" t="n"/>
      <c r="I30" s="78" t="inlineStr">
        <is>
          <t>简中</t>
        </is>
      </c>
      <c r="J30" s="78" t="inlineStr">
        <is>
          <t>上架</t>
        </is>
      </c>
      <c r="K30" s="78" t="inlineStr">
        <is>
          <t>否</t>
        </is>
      </c>
      <c r="L30" s="78" t="n"/>
      <c r="M30" s="77" t="inlineStr">
        <is>
          <t>2024-07-15T00:00:00</t>
        </is>
      </c>
      <c r="N30" s="78" t="n"/>
      <c r="O30" s="77" t="inlineStr">
        <is>
          <t>/products/onepiece-official/opc-08-pack.png</t>
        </is>
      </c>
      <c r="P30" s="78" t="n"/>
      <c r="Q30" s="78" t="inlineStr">
        <is>
          <t>扩充包</t>
        </is>
      </c>
      <c r="R30" s="77" t="inlineStr">
        <is>
          <t>成本价/成本汇率待补录（Obsidian 暂无海贼王产品笔记）。网站显示「有货」但未展示精确库存数字，请手动核实后填入。 官方发售日 2024-07-15；官方接口名称为「传说的强者」，与本店商品名不完全一致，请核实是否为同一弹。 | 官方：双子传说。对照站内DB/集换社补库存价。</t>
        </is>
      </c>
      <c r="S30" s="77" t="n"/>
      <c r="T30" s="77" t="inlineStr">
        <is>
          <t>opc-08-two-legends-box</t>
        </is>
      </c>
      <c r="U30" s="78" t="inlineStr">
        <is>
          <t>One Piece</t>
        </is>
      </c>
      <c r="V30" s="77" t="inlineStr">
        <is>
          <t>https://pimart-card-production.up.railway.app/products/opc-08-two-legends-box</t>
        </is>
      </c>
    </row>
    <row r="31" hidden="1" outlineLevel="1" ht="17" customHeight="1" s="59">
      <c r="A31" s="80" t="inlineStr">
        <is>
          <t>OPC-08 双子传说 散包（简中）</t>
        </is>
      </c>
      <c r="B31" s="80" t="inlineStr">
        <is>
          <t>OPC-08</t>
        </is>
      </c>
      <c r="C31" s="81" t="inlineStr">
        <is>
          <t>原盒</t>
        </is>
      </c>
      <c r="D31" s="82" t="inlineStr">
        <is>
          <t>散包</t>
        </is>
      </c>
      <c r="E31" s="81" t="inlineStr">
        <is>
          <t>在售</t>
        </is>
      </c>
      <c r="F31" s="81" t="n">
        <v>400</v>
      </c>
      <c r="G31" s="81" t="n">
        <v>200</v>
      </c>
      <c r="H31" s="81" t="n"/>
      <c r="I31" s="81" t="inlineStr">
        <is>
          <t>简中</t>
        </is>
      </c>
      <c r="J31" s="81" t="inlineStr">
        <is>
          <t>上架</t>
        </is>
      </c>
      <c r="K31" s="81" t="inlineStr">
        <is>
          <t>否</t>
        </is>
      </c>
      <c r="L31" s="81" t="n"/>
      <c r="M31" s="80" t="inlineStr">
        <is>
          <t>2024-07-15T00:00:00</t>
        </is>
      </c>
      <c r="N31" s="81" t="n"/>
      <c r="O31" s="80" t="inlineStr">
        <is>
          <t>/products/onepiece-official/opc-08-pack.png</t>
        </is>
      </c>
      <c r="P31" s="81" t="n"/>
      <c r="Q31" s="81" t="inlineStr">
        <is>
          <t>扩充包</t>
        </is>
      </c>
      <c r="R31" s="80" t="inlineStr">
        <is>
          <t>成本价/成本汇率待补录（Obsidian 暂无海贼王产品笔记）。网站显示「有货」但未展示精确库存数字，请手动核实后填入。 官方发售日 2024-07-15；官方接口名称为「传说的强者」，与本店商品名不完全一致，请核实是否为同一弹。 | 官方：双子传说。对照站内DB/集换社补库存价。</t>
        </is>
      </c>
      <c r="S31" s="80" t="n"/>
      <c r="T31" s="80" t="inlineStr">
        <is>
          <t>opc-08-two-legends-box</t>
        </is>
      </c>
      <c r="U31" s="81" t="inlineStr">
        <is>
          <t>One Piece</t>
        </is>
      </c>
      <c r="V31" s="80" t="inlineStr">
        <is>
          <t>https://pimart-card-production.up.railway.app/products/opc-08-two-legends-box</t>
        </is>
      </c>
    </row>
    <row r="32" hidden="1" outlineLevel="1" ht="17" customHeight="1" s="59">
      <c r="A32" s="80" t="inlineStr">
        <is>
          <t>OPC-08 双子传说 原箱（简中）</t>
        </is>
      </c>
      <c r="B32" s="80" t="inlineStr">
        <is>
          <t>OPC-08</t>
        </is>
      </c>
      <c r="C32" s="81" t="inlineStr">
        <is>
          <t>原盒</t>
        </is>
      </c>
      <c r="D32" s="82" t="inlineStr">
        <is>
          <t>原箱</t>
        </is>
      </c>
      <c r="E32" s="81" t="inlineStr">
        <is>
          <t>在售</t>
        </is>
      </c>
      <c r="F32" s="81" t="n">
        <v>100</v>
      </c>
      <c r="G32" s="81" t="n">
        <v>69600</v>
      </c>
      <c r="H32" s="81" t="n"/>
      <c r="I32" s="81" t="inlineStr">
        <is>
          <t>简中</t>
        </is>
      </c>
      <c r="J32" s="81" t="inlineStr">
        <is>
          <t>上架</t>
        </is>
      </c>
      <c r="K32" s="81" t="inlineStr">
        <is>
          <t>否</t>
        </is>
      </c>
      <c r="L32" s="81" t="n"/>
      <c r="M32" s="80" t="inlineStr">
        <is>
          <t>2024-07-15T00:00:00</t>
        </is>
      </c>
      <c r="N32" s="81" t="n"/>
      <c r="O32" s="80" t="inlineStr">
        <is>
          <t>/products/onepiece-official/opc-08-pack.png</t>
        </is>
      </c>
      <c r="P32" s="81" t="n"/>
      <c r="Q32" s="81" t="inlineStr">
        <is>
          <t>扩充包</t>
        </is>
      </c>
      <c r="R32" s="80" t="inlineStr">
        <is>
          <t>成本价/成本汇率待补录（Obsidian 暂无海贼王产品笔记）。网站显示「有货」但未展示精确库存数字，请手动核实后填入。 官方发售日 2024-07-15；官方接口名称为「传说的强者」，与本店商品名不完全一致，请核实是否为同一弹。 | 官方：双子传说。对照站内DB/集换社补库存价。</t>
        </is>
      </c>
      <c r="S32" s="80" t="n"/>
      <c r="T32" s="80" t="inlineStr">
        <is>
          <t>opc-08-two-legends-box</t>
        </is>
      </c>
      <c r="U32" s="81" t="inlineStr">
        <is>
          <t>One Piece</t>
        </is>
      </c>
      <c r="V32" s="80" t="inlineStr">
        <is>
          <t>https://pimart-card-production.up.railway.app/products/opc-08-two-legends-box</t>
        </is>
      </c>
    </row>
    <row r="33" collapsed="1" ht="18" customHeight="1" s="59">
      <c r="A33" s="83" t="inlineStr">
        <is>
          <t>OPC-07 500年后的未来 原盒（简中）</t>
        </is>
      </c>
      <c r="B33" s="83" t="inlineStr">
        <is>
          <t>OPC-07</t>
        </is>
      </c>
      <c r="C33" s="84" t="inlineStr">
        <is>
          <t>原盒</t>
        </is>
      </c>
      <c r="D33" s="79" t="inlineStr">
        <is>
          <t>原盒</t>
        </is>
      </c>
      <c r="E33" s="84" t="inlineStr">
        <is>
          <t>在售</t>
        </is>
      </c>
      <c r="F33" s="84" t="n">
        <v>100</v>
      </c>
      <c r="G33" s="84" t="n">
        <v>5800</v>
      </c>
      <c r="H33" s="84" t="n"/>
      <c r="I33" s="84" t="inlineStr">
        <is>
          <t>简中</t>
        </is>
      </c>
      <c r="J33" s="84" t="inlineStr">
        <is>
          <t>上架</t>
        </is>
      </c>
      <c r="K33" s="84" t="inlineStr">
        <is>
          <t>否</t>
        </is>
      </c>
      <c r="L33" s="84" t="n"/>
      <c r="M33" s="83" t="inlineStr">
        <is>
          <t>2024-04-24T00:00:00</t>
        </is>
      </c>
      <c r="N33" s="84" t="n"/>
      <c r="O33" s="83" t="inlineStr">
        <is>
          <t>/products/onepiece-official/opc-07-pack.png</t>
        </is>
      </c>
      <c r="P33" s="84" t="n"/>
      <c r="Q33" s="84" t="inlineStr">
        <is>
          <t>扩充包</t>
        </is>
      </c>
      <c r="R33" s="83" t="inlineStr">
        <is>
          <t>成本价/成本汇率待补录（Obsidian 暂无海贼王产品笔记）。网站显示「有货」但未展示精确库存数字，请手动核实后填入。 官方发售日 2024-04-24（来自 onepiece-cardgame.cn 官方数据）。 | 官方：500年后的未来。对照站内DB/集换社补库存价。</t>
        </is>
      </c>
      <c r="S33" s="83" t="n"/>
      <c r="T33" s="83" t="inlineStr">
        <is>
          <t>opc-07-500-years-future-box</t>
        </is>
      </c>
      <c r="U33" s="84" t="inlineStr">
        <is>
          <t>One Piece</t>
        </is>
      </c>
      <c r="V33" s="83" t="inlineStr">
        <is>
          <t>https://pimart-card-production.up.railway.app/products/opc-07-500-years-future-box</t>
        </is>
      </c>
    </row>
    <row r="34" hidden="1" outlineLevel="1" ht="17" customHeight="1" s="59">
      <c r="A34" s="80" t="inlineStr">
        <is>
          <t>OPC-07 500年后的未来 散包（简中）</t>
        </is>
      </c>
      <c r="B34" s="80" t="inlineStr">
        <is>
          <t>OPC-07</t>
        </is>
      </c>
      <c r="C34" s="81" t="inlineStr">
        <is>
          <t>原盒</t>
        </is>
      </c>
      <c r="D34" s="82" t="inlineStr">
        <is>
          <t>散包</t>
        </is>
      </c>
      <c r="E34" s="81" t="inlineStr">
        <is>
          <t>在售</t>
        </is>
      </c>
      <c r="F34" s="81" t="n">
        <v>400</v>
      </c>
      <c r="G34" s="81" t="n">
        <v>200</v>
      </c>
      <c r="H34" s="81" t="n"/>
      <c r="I34" s="81" t="inlineStr">
        <is>
          <t>简中</t>
        </is>
      </c>
      <c r="J34" s="81" t="inlineStr">
        <is>
          <t>上架</t>
        </is>
      </c>
      <c r="K34" s="81" t="inlineStr">
        <is>
          <t>否</t>
        </is>
      </c>
      <c r="L34" s="81" t="n"/>
      <c r="M34" s="80" t="inlineStr">
        <is>
          <t>2024-04-24T00:00:00</t>
        </is>
      </c>
      <c r="N34" s="81" t="n"/>
      <c r="O34" s="80" t="inlineStr">
        <is>
          <t>/products/onepiece-official/opc-07-pack.png</t>
        </is>
      </c>
      <c r="P34" s="81" t="n"/>
      <c r="Q34" s="81" t="inlineStr">
        <is>
          <t>扩充包</t>
        </is>
      </c>
      <c r="R34" s="80" t="inlineStr">
        <is>
          <t>成本价/成本汇率待补录（Obsidian 暂无海贼王产品笔记）。网站显示「有货」但未展示精确库存数字，请手动核实后填入。 官方发售日 2024-04-24（来自 onepiece-cardgame.cn 官方数据）。 | 官方：500年后的未来。对照站内DB/集换社补库存价。</t>
        </is>
      </c>
      <c r="S34" s="80" t="n"/>
      <c r="T34" s="80" t="inlineStr">
        <is>
          <t>opc-07-500-years-future-box</t>
        </is>
      </c>
      <c r="U34" s="81" t="inlineStr">
        <is>
          <t>One Piece</t>
        </is>
      </c>
      <c r="V34" s="80" t="inlineStr">
        <is>
          <t>https://pimart-card-production.up.railway.app/products/opc-07-500-years-future-box</t>
        </is>
      </c>
    </row>
    <row r="35" hidden="1" outlineLevel="1" ht="17" customHeight="1" s="59">
      <c r="A35" s="80" t="inlineStr">
        <is>
          <t>OPC-07 500年后的未来 原箱（简中）</t>
        </is>
      </c>
      <c r="B35" s="80" t="inlineStr">
        <is>
          <t>OPC-07</t>
        </is>
      </c>
      <c r="C35" s="81" t="inlineStr">
        <is>
          <t>原盒</t>
        </is>
      </c>
      <c r="D35" s="82" t="inlineStr">
        <is>
          <t>原箱</t>
        </is>
      </c>
      <c r="E35" s="81" t="inlineStr">
        <is>
          <t>在售</t>
        </is>
      </c>
      <c r="F35" s="81" t="n">
        <v>8</v>
      </c>
      <c r="G35" s="81" t="n">
        <v>69600</v>
      </c>
      <c r="H35" s="81" t="n"/>
      <c r="I35" s="81" t="inlineStr">
        <is>
          <t>简中</t>
        </is>
      </c>
      <c r="J35" s="81" t="inlineStr">
        <is>
          <t>上架</t>
        </is>
      </c>
      <c r="K35" s="81" t="inlineStr">
        <is>
          <t>否</t>
        </is>
      </c>
      <c r="L35" s="81" t="n"/>
      <c r="M35" s="80" t="inlineStr">
        <is>
          <t>2024-04-24T00:00:00</t>
        </is>
      </c>
      <c r="N35" s="81" t="n"/>
      <c r="O35" s="80" t="inlineStr">
        <is>
          <t>/products/onepiece-official/opc-07-pack.png</t>
        </is>
      </c>
      <c r="P35" s="81" t="n"/>
      <c r="Q35" s="81" t="inlineStr">
        <is>
          <t>扩充包</t>
        </is>
      </c>
      <c r="R35" s="80" t="inlineStr">
        <is>
          <t>成本价/成本汇率待补录（Obsidian 暂无海贼王产品笔记）。网站显示「有货」但未展示精确库存数字，请手动核实后填入。 官方发售日 2024-04-24（来自 onepiece-cardgame.cn 官方数据）。 | 官方：500年后的未来。对照站内DB/集换社补库存价。</t>
        </is>
      </c>
      <c r="S35" s="80" t="n"/>
      <c r="T35" s="80" t="inlineStr">
        <is>
          <t>opc-07-500-years-future-box</t>
        </is>
      </c>
      <c r="U35" s="81" t="inlineStr">
        <is>
          <t>One Piece</t>
        </is>
      </c>
      <c r="V35" s="80" t="inlineStr">
        <is>
          <t>https://pimart-card-production.up.railway.app/products/opc-07-500-years-future-box</t>
        </is>
      </c>
    </row>
    <row r="36" collapsed="1" ht="18" customHeight="1" s="59">
      <c r="A36" s="77" t="inlineStr">
        <is>
          <t>OPC-06 双壁的霸者 原盒（简中）</t>
        </is>
      </c>
      <c r="B36" s="77" t="inlineStr">
        <is>
          <t>OPC-06</t>
        </is>
      </c>
      <c r="C36" s="78" t="inlineStr">
        <is>
          <t>原盒</t>
        </is>
      </c>
      <c r="D36" s="79" t="inlineStr">
        <is>
          <t>原盒</t>
        </is>
      </c>
      <c r="E36" s="78" t="inlineStr">
        <is>
          <t>在售</t>
        </is>
      </c>
      <c r="F36" s="78" t="n">
        <v>100</v>
      </c>
      <c r="G36" s="78" t="n">
        <v>5800</v>
      </c>
      <c r="H36" s="78" t="n"/>
      <c r="I36" s="78" t="inlineStr">
        <is>
          <t>简中</t>
        </is>
      </c>
      <c r="J36" s="78" t="inlineStr">
        <is>
          <t>上架</t>
        </is>
      </c>
      <c r="K36" s="78" t="inlineStr">
        <is>
          <t>否</t>
        </is>
      </c>
      <c r="L36" s="78" t="n"/>
      <c r="M36" s="77" t="inlineStr">
        <is>
          <t>2024-01-24T00:00:00</t>
        </is>
      </c>
      <c r="N36" s="78" t="n"/>
      <c r="O36" s="77" t="inlineStr">
        <is>
          <t>/products/onepiece-official/opc-06-pack.png</t>
        </is>
      </c>
      <c r="P36" s="78" t="n"/>
      <c r="Q36" s="78" t="inlineStr">
        <is>
          <t>扩充包</t>
        </is>
      </c>
      <c r="R36" s="77" t="inlineStr">
        <is>
          <t>成本价/成本汇率待补录（Obsidian 暂无海贼王产品笔记）。网站显示「有货」但未展示精确库存数字，请手动核实后填入。 官方发售日 2024-01-24；官方接口名称为「双璧的霸者」，与本店商品名不完全一致，请核实是否为同一弹。 | 官方：双壁的霸者。对照站内DB/集换社补库存价。</t>
        </is>
      </c>
      <c r="S36" s="77" t="n"/>
      <c r="T36" s="77" t="inlineStr">
        <is>
          <t>opc-06-wings-of-the-captain-box</t>
        </is>
      </c>
      <c r="U36" s="78" t="inlineStr">
        <is>
          <t>One Piece</t>
        </is>
      </c>
      <c r="V36" s="77" t="inlineStr">
        <is>
          <t>https://pimart-card-production.up.railway.app/products/opc-06-wings-of-the-captain-box</t>
        </is>
      </c>
    </row>
    <row r="37" hidden="1" outlineLevel="1" ht="17" customHeight="1" s="59">
      <c r="A37" s="80" t="inlineStr">
        <is>
          <t>OPC-06 双壁的霸者 散包（简中）</t>
        </is>
      </c>
      <c r="B37" s="80" t="inlineStr">
        <is>
          <t>OPC-06</t>
        </is>
      </c>
      <c r="C37" s="81" t="inlineStr">
        <is>
          <t>原盒</t>
        </is>
      </c>
      <c r="D37" s="82" t="inlineStr">
        <is>
          <t>散包</t>
        </is>
      </c>
      <c r="E37" s="81" t="inlineStr">
        <is>
          <t>在售</t>
        </is>
      </c>
      <c r="F37" s="81" t="n">
        <v>400</v>
      </c>
      <c r="G37" s="81" t="n">
        <v>200</v>
      </c>
      <c r="H37" s="81" t="n"/>
      <c r="I37" s="81" t="inlineStr">
        <is>
          <t>简中</t>
        </is>
      </c>
      <c r="J37" s="81" t="inlineStr">
        <is>
          <t>上架</t>
        </is>
      </c>
      <c r="K37" s="81" t="inlineStr">
        <is>
          <t>否</t>
        </is>
      </c>
      <c r="L37" s="81" t="n"/>
      <c r="M37" s="80" t="inlineStr">
        <is>
          <t>2024-01-24T00:00:00</t>
        </is>
      </c>
      <c r="N37" s="81" t="n"/>
      <c r="O37" s="80" t="inlineStr">
        <is>
          <t>/products/onepiece-official/opc-06-pack.png</t>
        </is>
      </c>
      <c r="P37" s="81" t="n"/>
      <c r="Q37" s="81" t="inlineStr">
        <is>
          <t>扩充包</t>
        </is>
      </c>
      <c r="R37" s="80" t="inlineStr">
        <is>
          <t>成本价/成本汇率待补录（Obsidian 暂无海贼王产品笔记）。网站显示「有货」但未展示精确库存数字，请手动核实后填入。 官方发售日 2024-01-24；官方接口名称为「双璧的霸者」，与本店商品名不完全一致，请核实是否为同一弹。 | 官方：双壁的霸者。对照站内DB/集换社补库存价。</t>
        </is>
      </c>
      <c r="S37" s="80" t="n"/>
      <c r="T37" s="80" t="inlineStr">
        <is>
          <t>opc-06-wings-of-the-captain-box</t>
        </is>
      </c>
      <c r="U37" s="81" t="inlineStr">
        <is>
          <t>One Piece</t>
        </is>
      </c>
      <c r="V37" s="80" t="inlineStr">
        <is>
          <t>https://pimart-card-production.up.railway.app/products/opc-06-wings-of-the-captain-box</t>
        </is>
      </c>
    </row>
    <row r="38" hidden="1" outlineLevel="1" ht="17" customHeight="1" s="59">
      <c r="A38" s="80" t="inlineStr">
        <is>
          <t>OPC-06 双壁的霸者 原箱（简中）</t>
        </is>
      </c>
      <c r="B38" s="80" t="inlineStr">
        <is>
          <t>OPC-06</t>
        </is>
      </c>
      <c r="C38" s="81" t="inlineStr">
        <is>
          <t>原盒</t>
        </is>
      </c>
      <c r="D38" s="82" t="inlineStr">
        <is>
          <t>原箱</t>
        </is>
      </c>
      <c r="E38" s="81" t="inlineStr">
        <is>
          <t>在售</t>
        </is>
      </c>
      <c r="F38" s="81" t="n">
        <v>100</v>
      </c>
      <c r="G38" s="81" t="n">
        <v>69600</v>
      </c>
      <c r="H38" s="81" t="n"/>
      <c r="I38" s="81" t="inlineStr">
        <is>
          <t>简中</t>
        </is>
      </c>
      <c r="J38" s="81" t="inlineStr">
        <is>
          <t>上架</t>
        </is>
      </c>
      <c r="K38" s="81" t="inlineStr">
        <is>
          <t>否</t>
        </is>
      </c>
      <c r="L38" s="81" t="n"/>
      <c r="M38" s="80" t="inlineStr">
        <is>
          <t>2024-01-24T00:00:00</t>
        </is>
      </c>
      <c r="N38" s="81" t="n"/>
      <c r="O38" s="80" t="inlineStr">
        <is>
          <t>/products/onepiece-official/opc-06-pack.png</t>
        </is>
      </c>
      <c r="P38" s="81" t="n"/>
      <c r="Q38" s="81" t="inlineStr">
        <is>
          <t>扩充包</t>
        </is>
      </c>
      <c r="R38" s="80" t="inlineStr">
        <is>
          <t>成本价/成本汇率待补录（Obsidian 暂无海贼王产品笔记）。网站显示「有货」但未展示精确库存数字，请手动核实后填入。 官方发售日 2024-01-24；官方接口名称为「双璧的霸者」，与本店商品名不完全一致，请核实是否为同一弹。 | 官方：双壁的霸者。对照站内DB/集换社补库存价。</t>
        </is>
      </c>
      <c r="S38" s="80" t="n"/>
      <c r="T38" s="80" t="inlineStr">
        <is>
          <t>opc-06-wings-of-the-captain-box</t>
        </is>
      </c>
      <c r="U38" s="81" t="inlineStr">
        <is>
          <t>One Piece</t>
        </is>
      </c>
      <c r="V38" s="80" t="inlineStr">
        <is>
          <t>https://pimart-card-production.up.railway.app/products/opc-06-wings-of-the-captain-box</t>
        </is>
      </c>
    </row>
    <row r="39" collapsed="1" ht="18" customHeight="1" s="59">
      <c r="A39" s="83" t="inlineStr">
        <is>
          <t>OPC-05 新时代的主角 原盒（简中）</t>
        </is>
      </c>
      <c r="B39" s="83" t="inlineStr">
        <is>
          <t>OPC-05</t>
        </is>
      </c>
      <c r="C39" s="84" t="inlineStr">
        <is>
          <t>原盒</t>
        </is>
      </c>
      <c r="D39" s="79" t="inlineStr">
        <is>
          <t>原盒</t>
        </is>
      </c>
      <c r="E39" s="84" t="inlineStr">
        <is>
          <t>在售</t>
        </is>
      </c>
      <c r="F39" s="84" t="n">
        <v>100</v>
      </c>
      <c r="G39" s="84" t="n">
        <v>6500</v>
      </c>
      <c r="H39" s="84" t="n"/>
      <c r="I39" s="84" t="inlineStr">
        <is>
          <t>简中</t>
        </is>
      </c>
      <c r="J39" s="84" t="inlineStr">
        <is>
          <t>上架</t>
        </is>
      </c>
      <c r="K39" s="84" t="inlineStr">
        <is>
          <t>否</t>
        </is>
      </c>
      <c r="L39" s="84" t="n"/>
      <c r="M39" s="83" t="inlineStr">
        <is>
          <t>2023-11-04T00:00:00</t>
        </is>
      </c>
      <c r="N39" s="84" t="n"/>
      <c r="O39" s="83" t="inlineStr">
        <is>
          <t>/products/onepiece-official/opc-05-pack.png</t>
        </is>
      </c>
      <c r="P39" s="84" t="n"/>
      <c r="Q39" s="84" t="inlineStr">
        <is>
          <t>扩充包</t>
        </is>
      </c>
      <c r="R39" s="83" t="inlineStr">
        <is>
          <t>成本价/成本汇率待补录（Obsidian 暂无海贼王产品笔记）。网站显示「有货」但未展示精确库存数字，请手动核实后填入。 官方发售日 2023-11-04；官方接口名称为「新纪元的主角」，与本店商品名不完全一致，请核实是否为同一弹。 | 官方：新时代的主角。对照站内DB/集换社补库存价。</t>
        </is>
      </c>
      <c r="S39" s="83" t="n"/>
      <c r="T39" s="83" t="inlineStr">
        <is>
          <t>opc-05-awakening-new-era-box</t>
        </is>
      </c>
      <c r="U39" s="84" t="inlineStr">
        <is>
          <t>One Piece</t>
        </is>
      </c>
      <c r="V39" s="83" t="inlineStr">
        <is>
          <t>https://pimart-card-production.up.railway.app/products/opc-05-awakening-new-era-box</t>
        </is>
      </c>
    </row>
    <row r="40" hidden="1" outlineLevel="1" ht="17" customHeight="1" s="59">
      <c r="A40" s="80" t="inlineStr">
        <is>
          <t>OPC-05 新时代的主角 散包（简中）</t>
        </is>
      </c>
      <c r="B40" s="80" t="inlineStr">
        <is>
          <t>OPC-05</t>
        </is>
      </c>
      <c r="C40" s="81" t="inlineStr">
        <is>
          <t>原盒</t>
        </is>
      </c>
      <c r="D40" s="82" t="inlineStr">
        <is>
          <t>散包</t>
        </is>
      </c>
      <c r="E40" s="81" t="inlineStr">
        <is>
          <t>在售</t>
        </is>
      </c>
      <c r="F40" s="81" t="n">
        <v>400</v>
      </c>
      <c r="G40" s="81" t="n">
        <v>300</v>
      </c>
      <c r="H40" s="81" t="n"/>
      <c r="I40" s="81" t="inlineStr">
        <is>
          <t>简中</t>
        </is>
      </c>
      <c r="J40" s="81" t="inlineStr">
        <is>
          <t>上架</t>
        </is>
      </c>
      <c r="K40" s="81" t="inlineStr">
        <is>
          <t>否</t>
        </is>
      </c>
      <c r="L40" s="81" t="n"/>
      <c r="M40" s="80" t="inlineStr">
        <is>
          <t>2023-11-04T00:00:00</t>
        </is>
      </c>
      <c r="N40" s="81" t="n"/>
      <c r="O40" s="80" t="inlineStr">
        <is>
          <t>/products/onepiece-official/opc-05-pack.png</t>
        </is>
      </c>
      <c r="P40" s="81" t="n"/>
      <c r="Q40" s="81" t="inlineStr">
        <is>
          <t>扩充包</t>
        </is>
      </c>
      <c r="R40" s="80" t="inlineStr">
        <is>
          <t>成本价/成本汇率待补录（Obsidian 暂无海贼王产品笔记）。网站显示「有货」但未展示精确库存数字，请手动核实后填入。 官方发售日 2023-11-04；官方接口名称为「新纪元的主角」，与本店商品名不完全一致，请核实是否为同一弹。 | 官方：新时代的主角。对照站内DB/集换社补库存价。</t>
        </is>
      </c>
      <c r="S40" s="80" t="n"/>
      <c r="T40" s="80" t="inlineStr">
        <is>
          <t>opc-05-awakening-new-era-box</t>
        </is>
      </c>
      <c r="U40" s="81" t="inlineStr">
        <is>
          <t>One Piece</t>
        </is>
      </c>
      <c r="V40" s="80" t="inlineStr">
        <is>
          <t>https://pimart-card-production.up.railway.app/products/opc-05-awakening-new-era-box</t>
        </is>
      </c>
    </row>
    <row r="41" hidden="1" outlineLevel="1" ht="17" customHeight="1" s="59">
      <c r="A41" s="80" t="inlineStr">
        <is>
          <t>OPC-05 新时代的主角 原箱（简中）</t>
        </is>
      </c>
      <c r="B41" s="80" t="inlineStr">
        <is>
          <t>OPC-05</t>
        </is>
      </c>
      <c r="C41" s="81" t="inlineStr">
        <is>
          <t>原盒</t>
        </is>
      </c>
      <c r="D41" s="82" t="inlineStr">
        <is>
          <t>原箱</t>
        </is>
      </c>
      <c r="E41" s="81" t="inlineStr">
        <is>
          <t>在售</t>
        </is>
      </c>
      <c r="F41" s="81" t="n">
        <v>8</v>
      </c>
      <c r="G41" s="81" t="n">
        <v>78000</v>
      </c>
      <c r="H41" s="81" t="n"/>
      <c r="I41" s="81" t="inlineStr">
        <is>
          <t>简中</t>
        </is>
      </c>
      <c r="J41" s="81" t="inlineStr">
        <is>
          <t>上架</t>
        </is>
      </c>
      <c r="K41" s="81" t="inlineStr">
        <is>
          <t>否</t>
        </is>
      </c>
      <c r="L41" s="81" t="n"/>
      <c r="M41" s="80" t="inlineStr">
        <is>
          <t>2023-11-04T00:00:00</t>
        </is>
      </c>
      <c r="N41" s="81" t="n"/>
      <c r="O41" s="80" t="inlineStr">
        <is>
          <t>/products/onepiece-official/opc-05-pack.png</t>
        </is>
      </c>
      <c r="P41" s="81" t="n"/>
      <c r="Q41" s="81" t="inlineStr">
        <is>
          <t>扩充包</t>
        </is>
      </c>
      <c r="R41" s="80" t="inlineStr">
        <is>
          <t>成本价/成本汇率待补录（Obsidian 暂无海贼王产品笔记）。网站显示「有货」但未展示精确库存数字，请手动核实后填入。 官方发售日 2023-11-04；官方接口名称为「新纪元的主角」，与本店商品名不完全一致，请核实是否为同一弹。 | 官方：新时代的主角。对照站内DB/集换社补库存价。</t>
        </is>
      </c>
      <c r="S41" s="80" t="n"/>
      <c r="T41" s="80" t="inlineStr">
        <is>
          <t>opc-05-awakening-new-era-box</t>
        </is>
      </c>
      <c r="U41" s="81" t="inlineStr">
        <is>
          <t>One Piece</t>
        </is>
      </c>
      <c r="V41" s="80" t="inlineStr">
        <is>
          <t>https://pimart-card-production.up.railway.app/products/opc-05-awakening-new-era-box</t>
        </is>
      </c>
    </row>
    <row r="42" collapsed="1" ht="18" customHeight="1" s="59">
      <c r="A42" s="77" t="inlineStr">
        <is>
          <t>OPC-04 诡计的王国 原盒（简中）</t>
        </is>
      </c>
      <c r="B42" s="77" t="inlineStr">
        <is>
          <t>OPC-04</t>
        </is>
      </c>
      <c r="C42" s="78" t="inlineStr">
        <is>
          <t>原盒</t>
        </is>
      </c>
      <c r="D42" s="79" t="inlineStr">
        <is>
          <t>原盒</t>
        </is>
      </c>
      <c r="E42" s="78" t="inlineStr">
        <is>
          <t>在售</t>
        </is>
      </c>
      <c r="F42" s="78" t="n">
        <v>100</v>
      </c>
      <c r="G42" s="78" t="n">
        <v>6800</v>
      </c>
      <c r="H42" s="78" t="n"/>
      <c r="I42" s="78" t="inlineStr">
        <is>
          <t>简中</t>
        </is>
      </c>
      <c r="J42" s="78" t="inlineStr">
        <is>
          <t>上架</t>
        </is>
      </c>
      <c r="K42" s="78" t="inlineStr">
        <is>
          <t>否</t>
        </is>
      </c>
      <c r="L42" s="78" t="n"/>
      <c r="M42" s="77" t="inlineStr">
        <is>
          <t>2023-08-04T00:00:00</t>
        </is>
      </c>
      <c r="N42" s="78" t="n"/>
      <c r="O42" s="77" t="inlineStr">
        <is>
          <t>/products/onepiece-official/opc-04-pack.png</t>
        </is>
      </c>
      <c r="P42" s="78" t="n"/>
      <c r="Q42" s="78" t="inlineStr">
        <is>
          <t>扩充包</t>
        </is>
      </c>
      <c r="R42" s="77" t="inlineStr">
        <is>
          <t>成本价/成本汇率待补录（Obsidian 暂无海贼王产品笔记）。网站显示「有货」但未展示精确库存数字，请手动核实后填入。 官方发售日 2023-08-04（来自 onepiece-cardgame.cn 官方数据）。 | 官方：诡计的王国。对照站内DB/集换社补库存价。</t>
        </is>
      </c>
      <c r="S42" s="77" t="n"/>
      <c r="T42" s="77" t="inlineStr">
        <is>
          <t>opc-04-kingdoms-of-intrigue-box</t>
        </is>
      </c>
      <c r="U42" s="78" t="inlineStr">
        <is>
          <t>One Piece</t>
        </is>
      </c>
      <c r="V42" s="77" t="inlineStr">
        <is>
          <t>https://pimart-card-production.up.railway.app/products/opc-04-kingdoms-of-intrigue-box</t>
        </is>
      </c>
    </row>
    <row r="43" hidden="1" outlineLevel="1" ht="17" customHeight="1" s="59">
      <c r="A43" s="80" t="inlineStr">
        <is>
          <t>OPC-04 诡计的王国 散包（简中）</t>
        </is>
      </c>
      <c r="B43" s="80" t="inlineStr">
        <is>
          <t>OPC-04</t>
        </is>
      </c>
      <c r="C43" s="81" t="inlineStr">
        <is>
          <t>原盒</t>
        </is>
      </c>
      <c r="D43" s="82" t="inlineStr">
        <is>
          <t>散包</t>
        </is>
      </c>
      <c r="E43" s="81" t="inlineStr">
        <is>
          <t>在售</t>
        </is>
      </c>
      <c r="F43" s="81" t="n">
        <v>400</v>
      </c>
      <c r="G43" s="81" t="n">
        <v>300</v>
      </c>
      <c r="H43" s="81" t="n"/>
      <c r="I43" s="81" t="inlineStr">
        <is>
          <t>简中</t>
        </is>
      </c>
      <c r="J43" s="81" t="inlineStr">
        <is>
          <t>上架</t>
        </is>
      </c>
      <c r="K43" s="81" t="inlineStr">
        <is>
          <t>否</t>
        </is>
      </c>
      <c r="L43" s="81" t="n"/>
      <c r="M43" s="80" t="inlineStr">
        <is>
          <t>2023-08-04T00:00:00</t>
        </is>
      </c>
      <c r="N43" s="81" t="n"/>
      <c r="O43" s="80" t="inlineStr">
        <is>
          <t>/products/onepiece-official/opc-04-pack.png</t>
        </is>
      </c>
      <c r="P43" s="81" t="n"/>
      <c r="Q43" s="81" t="inlineStr">
        <is>
          <t>扩充包</t>
        </is>
      </c>
      <c r="R43" s="80" t="inlineStr">
        <is>
          <t>成本价/成本汇率待补录（Obsidian 暂无海贼王产品笔记）。网站显示「有货」但未展示精确库存数字，请手动核实后填入。 官方发售日 2023-08-04（来自 onepiece-cardgame.cn 官方数据）。 | 官方：诡计的王国。对照站内DB/集换社补库存价。</t>
        </is>
      </c>
      <c r="S43" s="80" t="n"/>
      <c r="T43" s="80" t="inlineStr">
        <is>
          <t>opc-04-kingdoms-of-intrigue-box</t>
        </is>
      </c>
      <c r="U43" s="81" t="inlineStr">
        <is>
          <t>One Piece</t>
        </is>
      </c>
      <c r="V43" s="80" t="inlineStr">
        <is>
          <t>https://pimart-card-production.up.railway.app/products/opc-04-kingdoms-of-intrigue-box</t>
        </is>
      </c>
    </row>
    <row r="44" hidden="1" outlineLevel="1" ht="17" customHeight="1" s="59">
      <c r="A44" s="80" t="inlineStr">
        <is>
          <t>OPC-04 诡计的王国 原箱（简中）</t>
        </is>
      </c>
      <c r="B44" s="80" t="inlineStr">
        <is>
          <t>OPC-04</t>
        </is>
      </c>
      <c r="C44" s="81" t="inlineStr">
        <is>
          <t>原盒</t>
        </is>
      </c>
      <c r="D44" s="82" t="inlineStr">
        <is>
          <t>原箱</t>
        </is>
      </c>
      <c r="E44" s="81" t="inlineStr">
        <is>
          <t>在售</t>
        </is>
      </c>
      <c r="F44" s="81" t="n">
        <v>8</v>
      </c>
      <c r="G44" s="81" t="n">
        <v>81600</v>
      </c>
      <c r="H44" s="81" t="n"/>
      <c r="I44" s="81" t="inlineStr">
        <is>
          <t>简中</t>
        </is>
      </c>
      <c r="J44" s="81" t="inlineStr">
        <is>
          <t>上架</t>
        </is>
      </c>
      <c r="K44" s="81" t="inlineStr">
        <is>
          <t>否</t>
        </is>
      </c>
      <c r="L44" s="81" t="n"/>
      <c r="M44" s="80" t="inlineStr">
        <is>
          <t>2023-08-04T00:00:00</t>
        </is>
      </c>
      <c r="N44" s="81" t="n"/>
      <c r="O44" s="80" t="inlineStr">
        <is>
          <t>/products/onepiece-official/opc-04-pack.png</t>
        </is>
      </c>
      <c r="P44" s="81" t="n"/>
      <c r="Q44" s="81" t="inlineStr">
        <is>
          <t>扩充包</t>
        </is>
      </c>
      <c r="R44" s="80" t="inlineStr">
        <is>
          <t>成本价/成本汇率待补录（Obsidian 暂无海贼王产品笔记）。网站显示「有货」但未展示精确库存数字，请手动核实后填入。 官方发售日 2023-08-04（来自 onepiece-cardgame.cn 官方数据）。 | 官方：诡计的王国。对照站内DB/集换社补库存价。</t>
        </is>
      </c>
      <c r="S44" s="80" t="n"/>
      <c r="T44" s="80" t="inlineStr">
        <is>
          <t>opc-04-kingdoms-of-intrigue-box</t>
        </is>
      </c>
      <c r="U44" s="81" t="inlineStr">
        <is>
          <t>One Piece</t>
        </is>
      </c>
      <c r="V44" s="80" t="inlineStr">
        <is>
          <t>https://pimart-card-production.up.railway.app/products/opc-04-kingdoms-of-intrigue-box</t>
        </is>
      </c>
    </row>
    <row r="45" collapsed="1" ht="18" customHeight="1" s="59">
      <c r="A45" s="83" t="inlineStr">
        <is>
          <t>OPC-03 强大的敌人 原盒（简中）</t>
        </is>
      </c>
      <c r="B45" s="83" t="inlineStr">
        <is>
          <t>OPC-03</t>
        </is>
      </c>
      <c r="C45" s="84" t="inlineStr">
        <is>
          <t>原盒</t>
        </is>
      </c>
      <c r="D45" s="79" t="inlineStr">
        <is>
          <t>原盒</t>
        </is>
      </c>
      <c r="E45" s="84" t="inlineStr">
        <is>
          <t>在售</t>
        </is>
      </c>
      <c r="F45" s="84" t="n">
        <v>100</v>
      </c>
      <c r="G45" s="84" t="n">
        <v>7800</v>
      </c>
      <c r="H45" s="84" t="n"/>
      <c r="I45" s="84" t="inlineStr">
        <is>
          <t>简中</t>
        </is>
      </c>
      <c r="J45" s="84" t="inlineStr">
        <is>
          <t>上架</t>
        </is>
      </c>
      <c r="K45" s="84" t="inlineStr">
        <is>
          <t>否</t>
        </is>
      </c>
      <c r="L45" s="84" t="n"/>
      <c r="M45" s="83" t="inlineStr">
        <is>
          <t>2023-04-28T00:00:00</t>
        </is>
      </c>
      <c r="N45" s="84" t="n"/>
      <c r="O45" s="83" t="inlineStr">
        <is>
          <t>/products/onepiece-official/opc-03-pack.png</t>
        </is>
      </c>
      <c r="P45" s="84" t="n"/>
      <c r="Q45" s="84" t="inlineStr">
        <is>
          <t>扩充包</t>
        </is>
      </c>
      <c r="R45" s="83" t="inlineStr">
        <is>
          <t>成本价/成本汇率待补录（Obsidian 暂无海贼王产品笔记）。网站显示「有货」但未展示精确库存数字，请手动核实后填入。 官方发售日 2023-04-28（来自 onepiece-cardgame.cn 官方数据）。 | 官方：强大的敌人。对照站内DB/集换社补库存价。</t>
        </is>
      </c>
      <c r="S45" s="83" t="n"/>
      <c r="T45" s="83" t="inlineStr">
        <is>
          <t>opc-03-pillars-of-strength-box</t>
        </is>
      </c>
      <c r="U45" s="84" t="inlineStr">
        <is>
          <t>One Piece</t>
        </is>
      </c>
      <c r="V45" s="83" t="inlineStr">
        <is>
          <t>https://pimart-card-production.up.railway.app/products/opc-03-pillars-of-strength-box</t>
        </is>
      </c>
    </row>
    <row r="46" hidden="1" outlineLevel="1" ht="17" customHeight="1" s="59">
      <c r="A46" s="80" t="inlineStr">
        <is>
          <t>OPC-03 强大的敌人 散包（简中）</t>
        </is>
      </c>
      <c r="B46" s="80" t="inlineStr">
        <is>
          <t>OPC-03</t>
        </is>
      </c>
      <c r="C46" s="81" t="inlineStr">
        <is>
          <t>原盒</t>
        </is>
      </c>
      <c r="D46" s="82" t="inlineStr">
        <is>
          <t>散包</t>
        </is>
      </c>
      <c r="E46" s="81" t="inlineStr">
        <is>
          <t>在售</t>
        </is>
      </c>
      <c r="F46" s="81" t="n">
        <v>400</v>
      </c>
      <c r="G46" s="81" t="n">
        <v>300</v>
      </c>
      <c r="H46" s="81" t="n"/>
      <c r="I46" s="81" t="inlineStr">
        <is>
          <t>简中</t>
        </is>
      </c>
      <c r="J46" s="81" t="inlineStr">
        <is>
          <t>上架</t>
        </is>
      </c>
      <c r="K46" s="81" t="inlineStr">
        <is>
          <t>否</t>
        </is>
      </c>
      <c r="L46" s="81" t="n"/>
      <c r="M46" s="80" t="inlineStr">
        <is>
          <t>2023-04-28T00:00:00</t>
        </is>
      </c>
      <c r="N46" s="81" t="n"/>
      <c r="O46" s="80" t="inlineStr">
        <is>
          <t>/products/onepiece-official/opc-03-pack.png</t>
        </is>
      </c>
      <c r="P46" s="81" t="n"/>
      <c r="Q46" s="81" t="inlineStr">
        <is>
          <t>扩充包</t>
        </is>
      </c>
      <c r="R46" s="80" t="inlineStr">
        <is>
          <t>成本价/成本汇率待补录（Obsidian 暂无海贼王产品笔记）。网站显示「有货」但未展示精确库存数字，请手动核实后填入。 官方发售日 2023-04-28（来自 onepiece-cardgame.cn 官方数据）。 | 官方：强大的敌人。对照站内DB/集换社补库存价。</t>
        </is>
      </c>
      <c r="S46" s="80" t="n"/>
      <c r="T46" s="80" t="inlineStr">
        <is>
          <t>opc-03-pillars-of-strength-box</t>
        </is>
      </c>
      <c r="U46" s="81" t="inlineStr">
        <is>
          <t>One Piece</t>
        </is>
      </c>
      <c r="V46" s="80" t="inlineStr">
        <is>
          <t>https://pimart-card-production.up.railway.app/products/opc-03-pillars-of-strength-box</t>
        </is>
      </c>
    </row>
    <row r="47" hidden="1" outlineLevel="1" ht="17" customHeight="1" s="59">
      <c r="A47" s="80" t="inlineStr">
        <is>
          <t>OPC-03 强大的敌人 原箱（简中）</t>
        </is>
      </c>
      <c r="B47" s="80" t="inlineStr">
        <is>
          <t>OPC-03</t>
        </is>
      </c>
      <c r="C47" s="81" t="inlineStr">
        <is>
          <t>原盒</t>
        </is>
      </c>
      <c r="D47" s="82" t="inlineStr">
        <is>
          <t>原箱</t>
        </is>
      </c>
      <c r="E47" s="81" t="inlineStr">
        <is>
          <t>在售</t>
        </is>
      </c>
      <c r="F47" s="81" t="n">
        <v>8</v>
      </c>
      <c r="G47" s="81" t="n">
        <v>93600</v>
      </c>
      <c r="H47" s="81" t="n"/>
      <c r="I47" s="81" t="inlineStr">
        <is>
          <t>简中</t>
        </is>
      </c>
      <c r="J47" s="81" t="inlineStr">
        <is>
          <t>上架</t>
        </is>
      </c>
      <c r="K47" s="81" t="inlineStr">
        <is>
          <t>否</t>
        </is>
      </c>
      <c r="L47" s="81" t="n"/>
      <c r="M47" s="80" t="inlineStr">
        <is>
          <t>2023-04-28T00:00:00</t>
        </is>
      </c>
      <c r="N47" s="81" t="n"/>
      <c r="O47" s="80" t="inlineStr">
        <is>
          <t>/products/onepiece-official/opc-03-pack.png</t>
        </is>
      </c>
      <c r="P47" s="81" t="n"/>
      <c r="Q47" s="81" t="inlineStr">
        <is>
          <t>扩充包</t>
        </is>
      </c>
      <c r="R47" s="80" t="inlineStr">
        <is>
          <t>成本价/成本汇率待补录（Obsidian 暂无海贼王产品笔记）。网站显示「有货」但未展示精确库存数字，请手动核实后填入。 官方发售日 2023-04-28（来自 onepiece-cardgame.cn 官方数据）。 | 官方：强大的敌人。对照站内DB/集换社补库存价。</t>
        </is>
      </c>
      <c r="S47" s="80" t="n"/>
      <c r="T47" s="80" t="inlineStr">
        <is>
          <t>opc-03-pillars-of-strength-box</t>
        </is>
      </c>
      <c r="U47" s="81" t="inlineStr">
        <is>
          <t>One Piece</t>
        </is>
      </c>
      <c r="V47" s="80" t="inlineStr">
        <is>
          <t>https://pimart-card-production.up.railway.app/products/opc-03-pillars-of-strength-box</t>
        </is>
      </c>
    </row>
    <row r="48" collapsed="1" ht="18" customHeight="1" s="59">
      <c r="A48" s="77" t="inlineStr">
        <is>
          <t>OPC-02 顶尖决战 原盒（简中）</t>
        </is>
      </c>
      <c r="B48" s="77" t="inlineStr">
        <is>
          <t>OPC-02</t>
        </is>
      </c>
      <c r="C48" s="78" t="inlineStr">
        <is>
          <t>原盒</t>
        </is>
      </c>
      <c r="D48" s="79" t="inlineStr">
        <is>
          <t>原盒</t>
        </is>
      </c>
      <c r="E48" s="78" t="inlineStr">
        <is>
          <t>在售</t>
        </is>
      </c>
      <c r="F48" s="78" t="n">
        <v>3</v>
      </c>
      <c r="G48" s="78" t="n">
        <v>8800</v>
      </c>
      <c r="H48" s="78" t="n"/>
      <c r="I48" s="78" t="inlineStr">
        <is>
          <t>简中</t>
        </is>
      </c>
      <c r="J48" s="78" t="inlineStr">
        <is>
          <t>上架</t>
        </is>
      </c>
      <c r="K48" s="78" t="inlineStr">
        <is>
          <t>否</t>
        </is>
      </c>
      <c r="L48" s="78" t="n"/>
      <c r="M48" s="77" t="inlineStr">
        <is>
          <t>2023-02-17T00:00:00</t>
        </is>
      </c>
      <c r="N48" s="78" t="n"/>
      <c r="O48" s="77" t="inlineStr">
        <is>
          <t>/products/onepiece-official/opc-02-pack.png</t>
        </is>
      </c>
      <c r="P48" s="78" t="n"/>
      <c r="Q48" s="78" t="inlineStr">
        <is>
          <t>扩充包</t>
        </is>
      </c>
      <c r="R48" s="77" t="inlineStr">
        <is>
          <t>成本价/成本汇率待补录（Obsidian 暂无海贼王产品笔记）。 官方发售日 2023-02-17（来自 onepiece-cardgame.cn 官方数据）。 | 官方：顶尖决战。对照站内DB/集换社补库存价。</t>
        </is>
      </c>
      <c r="S48" s="77" t="n"/>
      <c r="T48" s="77" t="inlineStr">
        <is>
          <t>opc-02-paramount-war-box</t>
        </is>
      </c>
      <c r="U48" s="78" t="inlineStr">
        <is>
          <t>One Piece</t>
        </is>
      </c>
      <c r="V48" s="77" t="inlineStr">
        <is>
          <t>https://pimart-card-production.up.railway.app/products/opc-02-paramount-war-box</t>
        </is>
      </c>
    </row>
    <row r="49" hidden="1" outlineLevel="1" ht="17" customHeight="1" s="59">
      <c r="A49" s="80" t="inlineStr">
        <is>
          <t>OPC-02 顶尖决战 散包（简中）</t>
        </is>
      </c>
      <c r="B49" s="80" t="inlineStr">
        <is>
          <t>OPC-02</t>
        </is>
      </c>
      <c r="C49" s="81" t="inlineStr">
        <is>
          <t>原盒</t>
        </is>
      </c>
      <c r="D49" s="82" t="inlineStr">
        <is>
          <t>散包</t>
        </is>
      </c>
      <c r="E49" s="81" t="inlineStr">
        <is>
          <t>在售</t>
        </is>
      </c>
      <c r="F49" s="81" t="n">
        <v>24</v>
      </c>
      <c r="G49" s="81" t="n">
        <v>400</v>
      </c>
      <c r="H49" s="81" t="n"/>
      <c r="I49" s="81" t="inlineStr">
        <is>
          <t>简中</t>
        </is>
      </c>
      <c r="J49" s="81" t="inlineStr">
        <is>
          <t>上架</t>
        </is>
      </c>
      <c r="K49" s="81" t="inlineStr">
        <is>
          <t>否</t>
        </is>
      </c>
      <c r="L49" s="81" t="n"/>
      <c r="M49" s="80" t="inlineStr">
        <is>
          <t>2023-02-17T00:00:00</t>
        </is>
      </c>
      <c r="N49" s="81" t="n"/>
      <c r="O49" s="80" t="inlineStr">
        <is>
          <t>/products/onepiece-official/opc-02-pack.png</t>
        </is>
      </c>
      <c r="P49" s="81" t="n"/>
      <c r="Q49" s="81" t="inlineStr">
        <is>
          <t>扩充包</t>
        </is>
      </c>
      <c r="R49" s="80" t="inlineStr">
        <is>
          <t>成本价/成本汇率待补录（Obsidian 暂无海贼王产品笔记）。 官方发售日 2023-02-17（来自 onepiece-cardgame.cn 官方数据）。 | 官方：顶尖决战。对照站内DB/集换社补库存价。</t>
        </is>
      </c>
      <c r="S49" s="80" t="n"/>
      <c r="T49" s="80" t="inlineStr">
        <is>
          <t>opc-02-paramount-war-box</t>
        </is>
      </c>
      <c r="U49" s="81" t="inlineStr">
        <is>
          <t>One Piece</t>
        </is>
      </c>
      <c r="V49" s="80" t="inlineStr">
        <is>
          <t>https://pimart-card-production.up.railway.app/products/opc-02-paramount-war-box</t>
        </is>
      </c>
    </row>
    <row r="50" hidden="1" outlineLevel="1" ht="17" customHeight="1" s="59">
      <c r="A50" s="80" t="inlineStr">
        <is>
          <t>OPC-02 顶尖决战 原箱（简中）</t>
        </is>
      </c>
      <c r="B50" s="80" t="inlineStr">
        <is>
          <t>OPC-02</t>
        </is>
      </c>
      <c r="C50" s="81" t="inlineStr">
        <is>
          <t>原盒</t>
        </is>
      </c>
      <c r="D50" s="82" t="inlineStr">
        <is>
          <t>原箱</t>
        </is>
      </c>
      <c r="E50" s="81" t="inlineStr">
        <is>
          <t>售罄</t>
        </is>
      </c>
      <c r="F50" s="81" t="n">
        <v>0</v>
      </c>
      <c r="G50" s="81" t="n">
        <v>105600</v>
      </c>
      <c r="H50" s="81" t="n"/>
      <c r="I50" s="81" t="inlineStr">
        <is>
          <t>简中</t>
        </is>
      </c>
      <c r="J50" s="81" t="inlineStr">
        <is>
          <t>上架</t>
        </is>
      </c>
      <c r="K50" s="81" t="inlineStr">
        <is>
          <t>否</t>
        </is>
      </c>
      <c r="L50" s="81" t="n"/>
      <c r="M50" s="80" t="inlineStr">
        <is>
          <t>2023-02-17T00:00:00</t>
        </is>
      </c>
      <c r="N50" s="81" t="n"/>
      <c r="O50" s="80" t="inlineStr">
        <is>
          <t>/products/onepiece-official/opc-02-pack.png</t>
        </is>
      </c>
      <c r="P50" s="81" t="n"/>
      <c r="Q50" s="81" t="inlineStr">
        <is>
          <t>扩充包</t>
        </is>
      </c>
      <c r="R50" s="80" t="inlineStr">
        <is>
          <t>成本价/成本汇率待补录（Obsidian 暂无海贼王产品笔记）。 官方发售日 2023-02-17（来自 onepiece-cardgame.cn 官方数据）。 | 官方：顶尖决战。对照站内DB/集换社补库存价。</t>
        </is>
      </c>
      <c r="S50" s="80" t="n"/>
      <c r="T50" s="80" t="inlineStr">
        <is>
          <t>opc-02-paramount-war-box</t>
        </is>
      </c>
      <c r="U50" s="81" t="inlineStr">
        <is>
          <t>One Piece</t>
        </is>
      </c>
      <c r="V50" s="80" t="inlineStr">
        <is>
          <t>https://pimart-card-production.up.railway.app/products/opc-02-paramount-war-box</t>
        </is>
      </c>
    </row>
    <row r="51" collapsed="1" ht="18" customHeight="1" s="59">
      <c r="A51" s="83" t="inlineStr">
        <is>
          <t>OPC-01 冒险的黎明 原盒（简中）</t>
        </is>
      </c>
      <c r="B51" s="83" t="inlineStr">
        <is>
          <t>OPC-01</t>
        </is>
      </c>
      <c r="C51" s="84" t="inlineStr">
        <is>
          <t>原盒</t>
        </is>
      </c>
      <c r="D51" s="79" t="inlineStr">
        <is>
          <t>原盒</t>
        </is>
      </c>
      <c r="E51" s="84" t="inlineStr">
        <is>
          <t>在售</t>
        </is>
      </c>
      <c r="F51" s="84" t="n">
        <v>3</v>
      </c>
      <c r="G51" s="84" t="n">
        <v>9800</v>
      </c>
      <c r="H51" s="84" t="n"/>
      <c r="I51" s="84" t="inlineStr">
        <is>
          <t>简中</t>
        </is>
      </c>
      <c r="J51" s="84" t="inlineStr">
        <is>
          <t>上架</t>
        </is>
      </c>
      <c r="K51" s="84" t="inlineStr">
        <is>
          <t>否</t>
        </is>
      </c>
      <c r="L51" s="84" t="n"/>
      <c r="M51" s="83" t="inlineStr">
        <is>
          <t>2022-11-18T00:00:00</t>
        </is>
      </c>
      <c r="N51" s="84" t="n"/>
      <c r="O51" s="83" t="inlineStr">
        <is>
          <t>/products/onepiece-official/opc-01-pack.png</t>
        </is>
      </c>
      <c r="P51" s="84" t="n"/>
      <c r="Q51" s="84" t="inlineStr">
        <is>
          <t>扩充包</t>
        </is>
      </c>
      <c r="R51" s="83" t="inlineStr">
        <is>
          <t>成本价/成本汇率待补录（Obsidian 暂无海贼王产品笔记）。 官方发售日 2022-11-18（来自 onepiece-cardgame.cn 官方数据）。 | 官方：冒险的黎明。对照站内DB/集换社补库存价。</t>
        </is>
      </c>
      <c r="S51" s="83" t="n"/>
      <c r="T51" s="83" t="inlineStr">
        <is>
          <t>opc-01-romance-dawn-box</t>
        </is>
      </c>
      <c r="U51" s="84" t="inlineStr">
        <is>
          <t>One Piece</t>
        </is>
      </c>
      <c r="V51" s="83" t="inlineStr">
        <is>
          <t>https://pimart-card-production.up.railway.app/products/opc-01-romance-dawn-box</t>
        </is>
      </c>
    </row>
    <row r="52" hidden="1" outlineLevel="1" ht="17" customHeight="1" s="59">
      <c r="A52" s="80" t="inlineStr">
        <is>
          <t>OPC-01 冒险的黎明 散包（简中）</t>
        </is>
      </c>
      <c r="B52" s="80" t="inlineStr">
        <is>
          <t>OPC-01</t>
        </is>
      </c>
      <c r="C52" s="81" t="inlineStr">
        <is>
          <t>原盒</t>
        </is>
      </c>
      <c r="D52" s="82" t="inlineStr">
        <is>
          <t>散包</t>
        </is>
      </c>
      <c r="E52" s="81" t="inlineStr">
        <is>
          <t>在售</t>
        </is>
      </c>
      <c r="F52" s="81" t="n">
        <v>24</v>
      </c>
      <c r="G52" s="81" t="n">
        <v>400</v>
      </c>
      <c r="H52" s="81" t="n"/>
      <c r="I52" s="81" t="inlineStr">
        <is>
          <t>简中</t>
        </is>
      </c>
      <c r="J52" s="81" t="inlineStr">
        <is>
          <t>上架</t>
        </is>
      </c>
      <c r="K52" s="81" t="inlineStr">
        <is>
          <t>否</t>
        </is>
      </c>
      <c r="L52" s="81" t="n"/>
      <c r="M52" s="80" t="inlineStr">
        <is>
          <t>2022-11-18T00:00:00</t>
        </is>
      </c>
      <c r="N52" s="81" t="n"/>
      <c r="O52" s="80" t="inlineStr">
        <is>
          <t>/products/onepiece-official/opc-01-pack.png</t>
        </is>
      </c>
      <c r="P52" s="81" t="n"/>
      <c r="Q52" s="81" t="inlineStr">
        <is>
          <t>扩充包</t>
        </is>
      </c>
      <c r="R52" s="80" t="inlineStr">
        <is>
          <t>成本价/成本汇率待补录（Obsidian 暂无海贼王产品笔记）。 官方发售日 2022-11-18（来自 onepiece-cardgame.cn 官方数据）。 | 官方：冒险的黎明。对照站内DB/集换社补库存价。</t>
        </is>
      </c>
      <c r="S52" s="80" t="n"/>
      <c r="T52" s="80" t="inlineStr">
        <is>
          <t>opc-01-romance-dawn-box</t>
        </is>
      </c>
      <c r="U52" s="81" t="inlineStr">
        <is>
          <t>One Piece</t>
        </is>
      </c>
      <c r="V52" s="80" t="inlineStr">
        <is>
          <t>https://pimart-card-production.up.railway.app/products/opc-01-romance-dawn-box</t>
        </is>
      </c>
    </row>
    <row r="53" hidden="1" outlineLevel="1" ht="17" customHeight="1" s="59">
      <c r="A53" s="80" t="inlineStr">
        <is>
          <t>OPC-01 冒险的黎明 原箱（简中）</t>
        </is>
      </c>
      <c r="B53" s="80" t="inlineStr">
        <is>
          <t>OPC-01</t>
        </is>
      </c>
      <c r="C53" s="81" t="inlineStr">
        <is>
          <t>原盒</t>
        </is>
      </c>
      <c r="D53" s="82" t="inlineStr">
        <is>
          <t>原箱</t>
        </is>
      </c>
      <c r="E53" s="81" t="inlineStr">
        <is>
          <t>售罄</t>
        </is>
      </c>
      <c r="F53" s="81" t="n">
        <v>0</v>
      </c>
      <c r="G53" s="81" t="n">
        <v>117600</v>
      </c>
      <c r="H53" s="81" t="n"/>
      <c r="I53" s="81" t="inlineStr">
        <is>
          <t>简中</t>
        </is>
      </c>
      <c r="J53" s="81" t="inlineStr">
        <is>
          <t>上架</t>
        </is>
      </c>
      <c r="K53" s="81" t="inlineStr">
        <is>
          <t>否</t>
        </is>
      </c>
      <c r="L53" s="81" t="n"/>
      <c r="M53" s="80" t="inlineStr">
        <is>
          <t>2022-11-18T00:00:00</t>
        </is>
      </c>
      <c r="N53" s="81" t="n"/>
      <c r="O53" s="80" t="inlineStr">
        <is>
          <t>/products/onepiece-official/opc-01-pack.png</t>
        </is>
      </c>
      <c r="P53" s="81" t="n"/>
      <c r="Q53" s="81" t="inlineStr">
        <is>
          <t>扩充包</t>
        </is>
      </c>
      <c r="R53" s="80" t="inlineStr">
        <is>
          <t>成本价/成本汇率待补录（Obsidian 暂无海贼王产品笔记）。 官方发售日 2022-11-18（来自 onepiece-cardgame.cn 官方数据）。 | 官方：冒险的黎明。对照站内DB/集换社补库存价。</t>
        </is>
      </c>
      <c r="S53" s="80" t="n"/>
      <c r="T53" s="80" t="inlineStr">
        <is>
          <t>opc-01-romance-dawn-box</t>
        </is>
      </c>
      <c r="U53" s="81" t="inlineStr">
        <is>
          <t>One Piece</t>
        </is>
      </c>
      <c r="V53" s="80" t="inlineStr">
        <is>
          <t>https://pimart-card-production.up.railway.app/products/opc-01-romance-dawn-box</t>
        </is>
      </c>
    </row>
    <row r="54" ht="6" customHeight="1" s="59"/>
    <row r="55" ht="20" customHeight="1" s="59">
      <c r="A55" s="75" t="inlineStr">
        <is>
          <t>EB 特别补充包</t>
        </is>
      </c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inlineStr">
        <is>
          <t>/products/placeholder.svg</t>
        </is>
      </c>
      <c r="P55" s="75" t="n"/>
      <c r="Q55" s="75" t="n"/>
      <c r="R55" s="75" t="n"/>
      <c r="S55" s="75" t="n"/>
      <c r="T55" s="75" t="n"/>
      <c r="U55" s="75" t="n"/>
      <c r="V55" s="75" t="n"/>
    </row>
    <row r="56" collapsed="1" ht="18" customHeight="1" s="59">
      <c r="A56" s="77" t="inlineStr">
        <is>
          <t>EBC-04 艾格赫德危机 原盒（简中）</t>
        </is>
      </c>
      <c r="B56" s="77" t="inlineStr">
        <is>
          <t>EBC-04</t>
        </is>
      </c>
      <c r="C56" s="78" t="inlineStr">
        <is>
          <t>原盒</t>
        </is>
      </c>
      <c r="D56" s="79" t="inlineStr">
        <is>
          <t>原盒</t>
        </is>
      </c>
      <c r="E56" s="78" t="inlineStr">
        <is>
          <t>售罄</t>
        </is>
      </c>
      <c r="F56" s="78" t="n">
        <v>0</v>
      </c>
      <c r="G56" s="78" t="n"/>
      <c r="H56" s="78" t="n"/>
      <c r="I56" s="78" t="inlineStr">
        <is>
          <t>简中</t>
        </is>
      </c>
      <c r="J56" s="78" t="inlineStr">
        <is>
          <t>未上架</t>
        </is>
      </c>
      <c r="K56" s="78" t="inlineStr">
        <is>
          <t>否</t>
        </is>
      </c>
      <c r="L56" s="78" t="n"/>
      <c r="M56" s="77" t="inlineStr">
        <is>
          <t>2026-02-02T00:00:00</t>
        </is>
      </c>
      <c r="N56" s="78" t="n"/>
      <c r="O56" s="77" t="inlineStr">
        <is>
          <t>/products/onepiece-official/ebc-04-pack.png</t>
        </is>
      </c>
      <c r="P56" s="78" t="n"/>
      <c r="Q56" s="78" t="inlineStr">
        <is>
          <t>扩充包</t>
        </is>
      </c>
      <c r="R56" s="77" t="inlineStr">
        <is>
          <t>特别补充包 艾格赫德危机。简中定价待官方/集换社。</t>
        </is>
      </c>
      <c r="S56" s="77" t="n"/>
      <c r="T56" s="77" t="n"/>
      <c r="U56" s="78" t="inlineStr">
        <is>
          <t>海贼王</t>
        </is>
      </c>
      <c r="V56" s="77" t="n"/>
    </row>
    <row r="57" hidden="1" outlineLevel="1" ht="17" customHeight="1" s="59">
      <c r="A57" s="80" t="inlineStr">
        <is>
          <t>EBC-04 艾格赫德危机 散包（简中）</t>
        </is>
      </c>
      <c r="B57" s="80" t="inlineStr">
        <is>
          <t>EBC-04</t>
        </is>
      </c>
      <c r="C57" s="81" t="inlineStr">
        <is>
          <t>原盒</t>
        </is>
      </c>
      <c r="D57" s="82" t="inlineStr">
        <is>
          <t>散包</t>
        </is>
      </c>
      <c r="E57" s="81" t="inlineStr">
        <is>
          <t>在售</t>
        </is>
      </c>
      <c r="F57" s="81" t="n">
        <v>0</v>
      </c>
      <c r="G57" s="81" t="n"/>
      <c r="H57" s="81" t="n"/>
      <c r="I57" s="81" t="inlineStr">
        <is>
          <t>简中</t>
        </is>
      </c>
      <c r="J57" s="81" t="inlineStr">
        <is>
          <t>未上架</t>
        </is>
      </c>
      <c r="K57" s="81" t="inlineStr">
        <is>
          <t>否</t>
        </is>
      </c>
      <c r="L57" s="81" t="n"/>
      <c r="M57" s="80" t="inlineStr">
        <is>
          <t>2026-02-02T00:00:00</t>
        </is>
      </c>
      <c r="N57" s="81" t="n"/>
      <c r="O57" s="80" t="inlineStr">
        <is>
          <t>/products/onepiece-official/ebc-04-pack.png</t>
        </is>
      </c>
      <c r="P57" s="81" t="n"/>
      <c r="Q57" s="81" t="inlineStr">
        <is>
          <t>扩充包</t>
        </is>
      </c>
      <c r="R57" s="80" t="inlineStr">
        <is>
          <t>官方 onepiece-cardgame.cn 已发售（特别篇），本店未查到对应商品页，暂未上架。价格/库存/成本待你核实补录。</t>
        </is>
      </c>
      <c r="S57" s="80" t="n"/>
      <c r="T57" s="80" t="n"/>
      <c r="U57" s="81" t="inlineStr">
        <is>
          <t>海贼王</t>
        </is>
      </c>
      <c r="V57" s="80" t="n"/>
    </row>
    <row r="58" hidden="1" outlineLevel="1" ht="17" customHeight="1" s="59">
      <c r="A58" s="80" t="inlineStr">
        <is>
          <t>EBC-04 艾格赫德危机 原箱（简中）</t>
        </is>
      </c>
      <c r="B58" s="80" t="inlineStr">
        <is>
          <t>EBC-04</t>
        </is>
      </c>
      <c r="C58" s="81" t="inlineStr">
        <is>
          <t>原盒</t>
        </is>
      </c>
      <c r="D58" s="82" t="inlineStr">
        <is>
          <t>原箱</t>
        </is>
      </c>
      <c r="E58" s="81" t="inlineStr">
        <is>
          <t>在售</t>
        </is>
      </c>
      <c r="F58" s="81" t="n">
        <v>0</v>
      </c>
      <c r="G58" s="81" t="n"/>
      <c r="H58" s="81" t="n"/>
      <c r="I58" s="81" t="inlineStr">
        <is>
          <t>简中</t>
        </is>
      </c>
      <c r="J58" s="81" t="inlineStr">
        <is>
          <t>未上架</t>
        </is>
      </c>
      <c r="K58" s="81" t="inlineStr">
        <is>
          <t>否</t>
        </is>
      </c>
      <c r="L58" s="81" t="n"/>
      <c r="M58" s="80" t="inlineStr">
        <is>
          <t>2026-02-02T00:00:00</t>
        </is>
      </c>
      <c r="N58" s="81" t="n"/>
      <c r="O58" s="80" t="inlineStr">
        <is>
          <t>/products/onepiece-official/ebc-04-pack.png</t>
        </is>
      </c>
      <c r="P58" s="81" t="n"/>
      <c r="Q58" s="81" t="inlineStr">
        <is>
          <t>扩充包</t>
        </is>
      </c>
      <c r="R58" s="80" t="inlineStr">
        <is>
          <t>官方 onepiece-cardgame.cn 已发售（特别篇），本店未查到对应商品页，暂未上架。价格/库存/成本待你核实补录。</t>
        </is>
      </c>
      <c r="S58" s="80" t="n"/>
      <c r="T58" s="80" t="n"/>
      <c r="U58" s="81" t="inlineStr">
        <is>
          <t>海贼王</t>
        </is>
      </c>
      <c r="V58" s="80" t="n"/>
    </row>
    <row r="59" collapsed="1" ht="18" customHeight="1" s="59">
      <c r="A59" s="83" t="inlineStr">
        <is>
          <t>EBC-03 ONE PIECE Heroines Edition 原盒（简中）</t>
        </is>
      </c>
      <c r="B59" s="83" t="inlineStr">
        <is>
          <t>EBC-03</t>
        </is>
      </c>
      <c r="C59" s="84" t="inlineStr">
        <is>
          <t>原盒</t>
        </is>
      </c>
      <c r="D59" s="79" t="inlineStr">
        <is>
          <t>原盒</t>
        </is>
      </c>
      <c r="E59" s="84" t="inlineStr">
        <is>
          <t>售罄</t>
        </is>
      </c>
      <c r="F59" s="84" t="n">
        <v>0</v>
      </c>
      <c r="G59" s="84" t="n">
        <v>7500</v>
      </c>
      <c r="H59" s="84" t="n"/>
      <c r="I59" s="84" t="inlineStr">
        <is>
          <t>简中</t>
        </is>
      </c>
      <c r="J59" s="84" t="inlineStr">
        <is>
          <t>上架</t>
        </is>
      </c>
      <c r="K59" s="84" t="inlineStr">
        <is>
          <t>否</t>
        </is>
      </c>
      <c r="L59" s="84" t="n"/>
      <c r="M59" s="83" t="inlineStr">
        <is>
          <t>2025-11-07T00:00:00</t>
        </is>
      </c>
      <c r="N59" s="84" t="n"/>
      <c r="O59" s="83" t="n"/>
      <c r="P59" s="84" t="n"/>
      <c r="Q59" s="84" t="inlineStr">
        <is>
          <t>扩充包</t>
        </is>
      </c>
      <c r="R59" s="83" t="inlineStr">
        <is>
          <t>官方 onepiece-cardgame.cn 已发售（女角色主题特别篇），本店未查到对应商品页，暂未上架。价格/库存/成本待你核实补录。</t>
        </is>
      </c>
      <c r="S59" s="83" t="n"/>
      <c r="T59" s="83" t="n"/>
      <c r="U59" s="84" t="inlineStr">
        <is>
          <t>海贼王</t>
        </is>
      </c>
      <c r="V59" s="83" t="n"/>
    </row>
    <row r="60" hidden="1" outlineLevel="1" ht="17" customHeight="1" s="59">
      <c r="A60" s="80" t="inlineStr">
        <is>
          <t>EBC-03 ONE PIECE Heroines Edition 散包（简中）</t>
        </is>
      </c>
      <c r="B60" s="80" t="inlineStr">
        <is>
          <t>EBC-03</t>
        </is>
      </c>
      <c r="C60" s="81" t="inlineStr">
        <is>
          <t>原盒</t>
        </is>
      </c>
      <c r="D60" s="82" t="inlineStr">
        <is>
          <t>散包</t>
        </is>
      </c>
      <c r="E60" s="81" t="inlineStr">
        <is>
          <t>在售</t>
        </is>
      </c>
      <c r="F60" s="81" t="n">
        <v>0</v>
      </c>
      <c r="G60" s="81" t="n">
        <v>312</v>
      </c>
      <c r="H60" s="81" t="n"/>
      <c r="I60" s="81" t="inlineStr">
        <is>
          <t>简中</t>
        </is>
      </c>
      <c r="J60" s="81" t="inlineStr">
        <is>
          <t>未上架</t>
        </is>
      </c>
      <c r="K60" s="81" t="inlineStr">
        <is>
          <t>否</t>
        </is>
      </c>
      <c r="L60" s="81" t="n"/>
      <c r="M60" s="80" t="inlineStr">
        <is>
          <t>2025-11-07T00:00:00</t>
        </is>
      </c>
      <c r="N60" s="81" t="n"/>
      <c r="O60" s="80" t="n"/>
      <c r="P60" s="81" t="n"/>
      <c r="Q60" s="81" t="inlineStr">
        <is>
          <t>扩充包</t>
        </is>
      </c>
      <c r="R60" s="80" t="inlineStr">
        <is>
          <t>官方 onepiece-cardgame.cn 已发售（女角色主题特别篇），本店未查到对应商品页，暂未上架。价格/库存/成本待你核实补录。</t>
        </is>
      </c>
      <c r="S60" s="80" t="n"/>
      <c r="T60" s="80" t="n"/>
      <c r="U60" s="81" t="inlineStr">
        <is>
          <t>海贼王</t>
        </is>
      </c>
      <c r="V60" s="80" t="n"/>
    </row>
    <row r="61" hidden="1" outlineLevel="1" ht="17" customHeight="1" s="59">
      <c r="A61" s="80" t="inlineStr">
        <is>
          <t>EBC-03 ONE PIECE Heroines Edition 原箱（简中）</t>
        </is>
      </c>
      <c r="B61" s="80" t="inlineStr">
        <is>
          <t>EBC-03</t>
        </is>
      </c>
      <c r="C61" s="81" t="inlineStr">
        <is>
          <t>原盒</t>
        </is>
      </c>
      <c r="D61" s="82" t="inlineStr">
        <is>
          <t>原箱</t>
        </is>
      </c>
      <c r="E61" s="81" t="inlineStr">
        <is>
          <t>在售</t>
        </is>
      </c>
      <c r="F61" s="81" t="n">
        <v>0</v>
      </c>
      <c r="G61" s="81" t="n">
        <v>90000</v>
      </c>
      <c r="H61" s="81" t="n"/>
      <c r="I61" s="81" t="inlineStr">
        <is>
          <t>简中</t>
        </is>
      </c>
      <c r="J61" s="81" t="inlineStr">
        <is>
          <t>未上架</t>
        </is>
      </c>
      <c r="K61" s="81" t="inlineStr">
        <is>
          <t>否</t>
        </is>
      </c>
      <c r="L61" s="81" t="n"/>
      <c r="M61" s="80" t="inlineStr">
        <is>
          <t>2025-11-07T00:00:00</t>
        </is>
      </c>
      <c r="N61" s="81" t="n"/>
      <c r="O61" s="80" t="n"/>
      <c r="P61" s="81" t="n"/>
      <c r="Q61" s="81" t="inlineStr">
        <is>
          <t>扩充包</t>
        </is>
      </c>
      <c r="R61" s="80" t="inlineStr">
        <is>
          <t>官方 onepiece-cardgame.cn 已发售（女角色主题特别篇），本店未查到对应商品页，暂未上架。价格/库存/成本待你核实补录。</t>
        </is>
      </c>
      <c r="S61" s="80" t="n"/>
      <c r="T61" s="80" t="n"/>
      <c r="U61" s="81" t="inlineStr">
        <is>
          <t>海贼王</t>
        </is>
      </c>
      <c r="V61" s="80" t="n"/>
    </row>
    <row r="62" collapsed="1" ht="18" customHeight="1" s="59">
      <c r="A62" s="77" t="inlineStr">
        <is>
          <t>EBC-02 Anime 25th Collection 原盒（简中）</t>
        </is>
      </c>
      <c r="B62" s="77" t="inlineStr">
        <is>
          <t>EBC-02</t>
        </is>
      </c>
      <c r="C62" s="78" t="inlineStr">
        <is>
          <t>原盒</t>
        </is>
      </c>
      <c r="D62" s="79" t="inlineStr">
        <is>
          <t>原盒</t>
        </is>
      </c>
      <c r="E62" s="78" t="inlineStr">
        <is>
          <t>售罄</t>
        </is>
      </c>
      <c r="F62" s="78" t="n">
        <v>0</v>
      </c>
      <c r="G62" s="78" t="n">
        <v>7800</v>
      </c>
      <c r="H62" s="78" t="n"/>
      <c r="I62" s="78" t="inlineStr">
        <is>
          <t>简中</t>
        </is>
      </c>
      <c r="J62" s="78" t="inlineStr">
        <is>
          <t>上架</t>
        </is>
      </c>
      <c r="K62" s="78" t="inlineStr">
        <is>
          <t>否</t>
        </is>
      </c>
      <c r="L62" s="78" t="n"/>
      <c r="M62" s="77" t="inlineStr">
        <is>
          <t>2025-03-12T00:00:00</t>
        </is>
      </c>
      <c r="N62" s="78" t="n"/>
      <c r="O62" s="77" t="n"/>
      <c r="P62" s="78" t="n"/>
      <c r="Q62" s="78" t="inlineStr">
        <is>
          <t>扩充包</t>
        </is>
      </c>
      <c r="R62" s="77" t="inlineStr">
        <is>
          <t>官方 onepiece-cardgame.cn 已发售（动画25周年特别篇），本店未查到对应商品页，暂未上架。价格/库存/成本待你核实补录。</t>
        </is>
      </c>
      <c r="S62" s="77" t="n"/>
      <c r="T62" s="77" t="n"/>
      <c r="U62" s="78" t="inlineStr">
        <is>
          <t>海贼王</t>
        </is>
      </c>
      <c r="V62" s="77" t="n"/>
    </row>
    <row r="63" hidden="1" outlineLevel="1" ht="17" customHeight="1" s="59">
      <c r="A63" s="80" t="inlineStr">
        <is>
          <t>EBC-02 Anime 25th Collection 散包（简中）</t>
        </is>
      </c>
      <c r="B63" s="80" t="inlineStr">
        <is>
          <t>EBC-02</t>
        </is>
      </c>
      <c r="C63" s="81" t="inlineStr">
        <is>
          <t>原盒</t>
        </is>
      </c>
      <c r="D63" s="82" t="inlineStr">
        <is>
          <t>散包</t>
        </is>
      </c>
      <c r="E63" s="81" t="inlineStr">
        <is>
          <t>在售</t>
        </is>
      </c>
      <c r="F63" s="81" t="n">
        <v>0</v>
      </c>
      <c r="G63" s="81" t="n">
        <v>325</v>
      </c>
      <c r="H63" s="81" t="n"/>
      <c r="I63" s="81" t="inlineStr">
        <is>
          <t>简中</t>
        </is>
      </c>
      <c r="J63" s="81" t="inlineStr">
        <is>
          <t>未上架</t>
        </is>
      </c>
      <c r="K63" s="81" t="inlineStr">
        <is>
          <t>否</t>
        </is>
      </c>
      <c r="L63" s="81" t="n"/>
      <c r="M63" s="80" t="inlineStr">
        <is>
          <t>2025-03-12T00:00:00</t>
        </is>
      </c>
      <c r="N63" s="81" t="n"/>
      <c r="O63" s="80" t="n"/>
      <c r="P63" s="81" t="n"/>
      <c r="Q63" s="81" t="inlineStr">
        <is>
          <t>扩充包</t>
        </is>
      </c>
      <c r="R63" s="80" t="inlineStr">
        <is>
          <t>官方 onepiece-cardgame.cn 已发售（动画25周年特别篇），本店未查到对应商品页，暂未上架。价格/库存/成本待你核实补录。</t>
        </is>
      </c>
      <c r="S63" s="80" t="n"/>
      <c r="T63" s="80" t="n"/>
      <c r="U63" s="81" t="inlineStr">
        <is>
          <t>海贼王</t>
        </is>
      </c>
      <c r="V63" s="80" t="n"/>
    </row>
    <row r="64" hidden="1" outlineLevel="1" ht="17" customHeight="1" s="59">
      <c r="A64" s="80" t="inlineStr">
        <is>
          <t>EBC-02 Anime 25th Collection 原箱（简中）</t>
        </is>
      </c>
      <c r="B64" s="80" t="inlineStr">
        <is>
          <t>EBC-02</t>
        </is>
      </c>
      <c r="C64" s="81" t="inlineStr">
        <is>
          <t>原盒</t>
        </is>
      </c>
      <c r="D64" s="82" t="inlineStr">
        <is>
          <t>原箱</t>
        </is>
      </c>
      <c r="E64" s="81" t="inlineStr">
        <is>
          <t>在售</t>
        </is>
      </c>
      <c r="F64" s="81" t="n">
        <v>0</v>
      </c>
      <c r="G64" s="81" t="n">
        <v>93600</v>
      </c>
      <c r="H64" s="81" t="n"/>
      <c r="I64" s="81" t="inlineStr">
        <is>
          <t>简中</t>
        </is>
      </c>
      <c r="J64" s="81" t="inlineStr">
        <is>
          <t>未上架</t>
        </is>
      </c>
      <c r="K64" s="81" t="inlineStr">
        <is>
          <t>否</t>
        </is>
      </c>
      <c r="L64" s="81" t="n"/>
      <c r="M64" s="80" t="inlineStr">
        <is>
          <t>2025-03-12T00:00:00</t>
        </is>
      </c>
      <c r="N64" s="81" t="n"/>
      <c r="O64" s="80" t="n"/>
      <c r="P64" s="81" t="n"/>
      <c r="Q64" s="81" t="inlineStr">
        <is>
          <t>扩充包</t>
        </is>
      </c>
      <c r="R64" s="80" t="inlineStr">
        <is>
          <t>官方 onepiece-cardgame.cn 已发售（动画25周年特别篇），本店未查到对应商品页，暂未上架。价格/库存/成本待你核实补录。</t>
        </is>
      </c>
      <c r="S64" s="80" t="n"/>
      <c r="T64" s="80" t="n"/>
      <c r="U64" s="81" t="inlineStr">
        <is>
          <t>海贼王</t>
        </is>
      </c>
      <c r="V64" s="80" t="n"/>
    </row>
    <row r="65" collapsed="1" ht="18" customHeight="1" s="59">
      <c r="A65" s="83" t="inlineStr">
        <is>
          <t>EB-01 特别补充包 纪念收藏合集 原盒（简中）</t>
        </is>
      </c>
      <c r="B65" s="83" t="inlineStr">
        <is>
          <t>EB-01</t>
        </is>
      </c>
      <c r="C65" s="84" t="inlineStr">
        <is>
          <t>原盒</t>
        </is>
      </c>
      <c r="D65" s="79" t="inlineStr">
        <is>
          <t>原盒</t>
        </is>
      </c>
      <c r="E65" s="84" t="inlineStr">
        <is>
          <t>未上架</t>
        </is>
      </c>
      <c r="F65" s="84" t="n">
        <v>0</v>
      </c>
      <c r="G65" s="84" t="n"/>
      <c r="H65" s="84" t="n"/>
      <c r="I65" s="84" t="inlineStr">
        <is>
          <t>简中</t>
        </is>
      </c>
      <c r="J65" s="84" t="inlineStr">
        <is>
          <t>未上架</t>
        </is>
      </c>
      <c r="K65" s="84" t="inlineStr">
        <is>
          <t>否</t>
        </is>
      </c>
      <c r="L65" s="84" t="n"/>
      <c r="M65" s="83" t="inlineStr">
        <is>
          <t>2024-03-20T00:00:00</t>
        </is>
      </c>
      <c r="N65" s="84" t="n"/>
      <c r="O65" s="83" t="inlineStr">
        <is>
          <t>/products/onepiece-official/ebc-01-pack.png</t>
        </is>
      </c>
      <c r="P65" s="84" t="n"/>
      <c r="Q65" s="84" t="inlineStr">
        <is>
          <t>特殊卡包</t>
        </is>
      </c>
      <c r="R65" s="83" t="inlineStr">
        <is>
          <t>官方 onepiece-cardgame.cn 已发售（特别篇，无编号），本店未查到对应商品页，暂未上架。价格/库存/成本待你核实补录。</t>
        </is>
      </c>
      <c r="S65" s="83" t="n"/>
      <c r="T65" s="83" t="inlineStr">
        <is>
          <t>eb-01-memorial-collection-box</t>
        </is>
      </c>
      <c r="U65" s="84" t="inlineStr">
        <is>
          <t>海贼王</t>
        </is>
      </c>
      <c r="V65" s="83" t="n"/>
    </row>
    <row r="66" ht="20" customHeight="1" s="59">
      <c r="A66" s="75" t="inlineStr">
        <is>
          <t>PRB 豪华补充包 / 典藏包</t>
        </is>
      </c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inlineStr">
        <is>
          <t>/products/placeholder.svg</t>
        </is>
      </c>
      <c r="P66" s="75" t="n"/>
      <c r="Q66" s="75" t="n"/>
      <c r="R66" s="75" t="n"/>
      <c r="S66" s="75" t="n"/>
      <c r="T66" s="75" t="n"/>
      <c r="U66" s="75" t="n"/>
      <c r="V66" s="75" t="n"/>
    </row>
    <row r="67" collapsed="1" ht="18" customHeight="1" s="59">
      <c r="A67" s="77" t="inlineStr">
        <is>
          <t>PRBC-02 历代典藏合集 Vol.2 原盒（简中）</t>
        </is>
      </c>
      <c r="B67" s="77" t="inlineStr">
        <is>
          <t>PRBC-02</t>
        </is>
      </c>
      <c r="C67" s="78" t="inlineStr">
        <is>
          <t>原盒</t>
        </is>
      </c>
      <c r="D67" s="79" t="inlineStr">
        <is>
          <t>原盒</t>
        </is>
      </c>
      <c r="E67" s="78" t="inlineStr">
        <is>
          <t>售罄</t>
        </is>
      </c>
      <c r="F67" s="78" t="n">
        <v>0</v>
      </c>
      <c r="G67" s="78" t="n"/>
      <c r="H67" s="78" t="n"/>
      <c r="I67" s="78" t="inlineStr">
        <is>
          <t>简中</t>
        </is>
      </c>
      <c r="J67" s="78" t="inlineStr">
        <is>
          <t>未上架</t>
        </is>
      </c>
      <c r="K67" s="78" t="inlineStr">
        <is>
          <t>否</t>
        </is>
      </c>
      <c r="L67" s="78" t="n"/>
      <c r="M67" s="77" t="inlineStr">
        <is>
          <t>2025-08-19T00:00:00</t>
        </is>
      </c>
      <c r="N67" s="78" t="n"/>
      <c r="O67" s="77" t="inlineStr">
        <is>
          <t>/products/onepiece-official/prbc-02-pack.png</t>
        </is>
      </c>
      <c r="P67" s="78" t="n"/>
      <c r="Q67" s="78" t="inlineStr">
        <is>
          <t>扩充包</t>
        </is>
      </c>
      <c r="R67" s="77" t="inlineStr">
        <is>
          <t>豪华补充包 历代典藏合集 Vol.2。简中定价待官方/集换社。</t>
        </is>
      </c>
      <c r="S67" s="77" t="n"/>
      <c r="T67" s="77" t="n"/>
      <c r="U67" s="78" t="inlineStr">
        <is>
          <t>海贼王</t>
        </is>
      </c>
      <c r="V67" s="77" t="n"/>
    </row>
    <row r="68" hidden="1" outlineLevel="1" ht="17" customHeight="1" s="59">
      <c r="A68" s="80" t="inlineStr">
        <is>
          <t>PRBC-02 历代典藏合集 Vol.2 散包（简中）</t>
        </is>
      </c>
      <c r="B68" s="80" t="inlineStr">
        <is>
          <t>PRBC-02</t>
        </is>
      </c>
      <c r="C68" s="81" t="inlineStr">
        <is>
          <t>原盒</t>
        </is>
      </c>
      <c r="D68" s="82" t="inlineStr">
        <is>
          <t>散包</t>
        </is>
      </c>
      <c r="E68" s="81" t="inlineStr">
        <is>
          <t>在售</t>
        </is>
      </c>
      <c r="F68" s="81" t="n">
        <v>0</v>
      </c>
      <c r="G68" s="81" t="n"/>
      <c r="H68" s="81" t="n"/>
      <c r="I68" s="81" t="inlineStr">
        <is>
          <t>简中</t>
        </is>
      </c>
      <c r="J68" s="81" t="inlineStr">
        <is>
          <t>未上架</t>
        </is>
      </c>
      <c r="K68" s="81" t="inlineStr">
        <is>
          <t>否</t>
        </is>
      </c>
      <c r="L68" s="81" t="n"/>
      <c r="M68" s="80" t="inlineStr">
        <is>
          <t>2025-08-19T00:00:00</t>
        </is>
      </c>
      <c r="N68" s="81" t="n"/>
      <c r="O68" s="80" t="inlineStr">
        <is>
          <t>/products/onepiece-official/prbc-02-pack.png</t>
        </is>
      </c>
      <c r="P68" s="81" t="n"/>
      <c r="Q68" s="81" t="inlineStr">
        <is>
          <t>扩充包</t>
        </is>
      </c>
      <c r="R68" s="80" t="inlineStr">
        <is>
          <t>官方 onepiece-cardgame.cn 已发售（豪华合集），本店未查到对应商品页，暂未上架。价格/库存/成本待你核实补录。</t>
        </is>
      </c>
      <c r="S68" s="80" t="n"/>
      <c r="T68" s="80" t="n"/>
      <c r="U68" s="81" t="inlineStr">
        <is>
          <t>海贼王</t>
        </is>
      </c>
      <c r="V68" s="80" t="n"/>
    </row>
    <row r="69" hidden="1" outlineLevel="1" ht="17" customHeight="1" s="59">
      <c r="A69" s="80" t="inlineStr">
        <is>
          <t>PRBC-02 历代典藏合集 Vol.2 原箱（简中）</t>
        </is>
      </c>
      <c r="B69" s="80" t="inlineStr">
        <is>
          <t>PRBC-02</t>
        </is>
      </c>
      <c r="C69" s="81" t="inlineStr">
        <is>
          <t>原盒</t>
        </is>
      </c>
      <c r="D69" s="82" t="inlineStr">
        <is>
          <t>原箱</t>
        </is>
      </c>
      <c r="E69" s="81" t="inlineStr">
        <is>
          <t>在售</t>
        </is>
      </c>
      <c r="F69" s="81" t="n">
        <v>0</v>
      </c>
      <c r="G69" s="81" t="n"/>
      <c r="H69" s="81" t="n"/>
      <c r="I69" s="81" t="inlineStr">
        <is>
          <t>简中</t>
        </is>
      </c>
      <c r="J69" s="81" t="inlineStr">
        <is>
          <t>未上架</t>
        </is>
      </c>
      <c r="K69" s="81" t="inlineStr">
        <is>
          <t>否</t>
        </is>
      </c>
      <c r="L69" s="81" t="n"/>
      <c r="M69" s="80" t="inlineStr">
        <is>
          <t>2025-08-19T00:00:00</t>
        </is>
      </c>
      <c r="N69" s="81" t="n"/>
      <c r="O69" s="80" t="inlineStr">
        <is>
          <t>/products/onepiece-official/prbc-02-pack.png</t>
        </is>
      </c>
      <c r="P69" s="81" t="n"/>
      <c r="Q69" s="81" t="inlineStr">
        <is>
          <t>扩充包</t>
        </is>
      </c>
      <c r="R69" s="80" t="inlineStr">
        <is>
          <t>官方 onepiece-cardgame.cn 已发售（豪华合集），本店未查到对应商品页，暂未上架。价格/库存/成本待你核实补录。</t>
        </is>
      </c>
      <c r="S69" s="80" t="n"/>
      <c r="T69" s="80" t="n"/>
      <c r="U69" s="81" t="inlineStr">
        <is>
          <t>海贼王</t>
        </is>
      </c>
      <c r="V69" s="80" t="n"/>
    </row>
    <row r="70" collapsed="1" ht="18" customHeight="1" s="59">
      <c r="A70" s="83" t="inlineStr">
        <is>
          <t>PRBC-01 历代典藏合集 原盒（简中）</t>
        </is>
      </c>
      <c r="B70" s="83" t="inlineStr">
        <is>
          <t>PRBC-01</t>
        </is>
      </c>
      <c r="C70" s="84" t="inlineStr">
        <is>
          <t>原盒</t>
        </is>
      </c>
      <c r="D70" s="79" t="inlineStr">
        <is>
          <t>原盒</t>
        </is>
      </c>
      <c r="E70" s="84" t="inlineStr">
        <is>
          <t>售罄</t>
        </is>
      </c>
      <c r="F70" s="84" t="n">
        <v>0</v>
      </c>
      <c r="G70" s="84" t="n"/>
      <c r="H70" s="84" t="n"/>
      <c r="I70" s="84" t="inlineStr">
        <is>
          <t>简中</t>
        </is>
      </c>
      <c r="J70" s="84" t="inlineStr">
        <is>
          <t>未上架</t>
        </is>
      </c>
      <c r="K70" s="84" t="inlineStr">
        <is>
          <t>否</t>
        </is>
      </c>
      <c r="L70" s="84" t="n"/>
      <c r="M70" s="83" t="inlineStr">
        <is>
          <t>2024-09-17T00:00:00</t>
        </is>
      </c>
      <c r="N70" s="84" t="n"/>
      <c r="O70" s="83" t="inlineStr">
        <is>
          <t>/products/onepiece-official/prbc-01-pack.png</t>
        </is>
      </c>
      <c r="P70" s="84" t="n"/>
      <c r="Q70" s="84" t="inlineStr">
        <is>
          <t>扩充包</t>
        </is>
      </c>
      <c r="R70" s="83" t="inlineStr">
        <is>
          <t>豪华补充包 历代典藏合集。简中定价待官方/集换社。</t>
        </is>
      </c>
      <c r="S70" s="83" t="n"/>
      <c r="T70" s="83" t="n"/>
      <c r="U70" s="84" t="inlineStr">
        <is>
          <t>海贼王</t>
        </is>
      </c>
      <c r="V70" s="83" t="n"/>
    </row>
    <row r="71" hidden="1" outlineLevel="1" ht="17" customHeight="1" s="59">
      <c r="A71" s="80" t="inlineStr">
        <is>
          <t>PRBC-01 历代典藏合集 散包（简中）</t>
        </is>
      </c>
      <c r="B71" s="80" t="inlineStr">
        <is>
          <t>PRBC-01</t>
        </is>
      </c>
      <c r="C71" s="81" t="inlineStr">
        <is>
          <t>原盒</t>
        </is>
      </c>
      <c r="D71" s="82" t="inlineStr">
        <is>
          <t>散包</t>
        </is>
      </c>
      <c r="E71" s="81" t="inlineStr">
        <is>
          <t>在售</t>
        </is>
      </c>
      <c r="F71" s="81" t="n">
        <v>0</v>
      </c>
      <c r="G71" s="81" t="n"/>
      <c r="H71" s="81" t="n"/>
      <c r="I71" s="81" t="inlineStr">
        <is>
          <t>简中</t>
        </is>
      </c>
      <c r="J71" s="81" t="inlineStr">
        <is>
          <t>未上架</t>
        </is>
      </c>
      <c r="K71" s="81" t="inlineStr">
        <is>
          <t>否</t>
        </is>
      </c>
      <c r="L71" s="81" t="n"/>
      <c r="M71" s="80" t="inlineStr">
        <is>
          <t>2024-09-17T00:00:00</t>
        </is>
      </c>
      <c r="N71" s="81" t="n"/>
      <c r="O71" s="80" t="inlineStr">
        <is>
          <t>/products/onepiece-official/prbc-01-pack.png</t>
        </is>
      </c>
      <c r="P71" s="81" t="n"/>
      <c r="Q71" s="81" t="inlineStr">
        <is>
          <t>扩充包</t>
        </is>
      </c>
      <c r="R71" s="80" t="inlineStr">
        <is>
          <t>官方 onepiece-cardgame.cn 已发售（豪华合集），本店未查到对应商品页，暂未上架。价格/库存/成本待你核实补录。</t>
        </is>
      </c>
      <c r="S71" s="80" t="n"/>
      <c r="T71" s="80" t="n"/>
      <c r="U71" s="81" t="inlineStr">
        <is>
          <t>海贼王</t>
        </is>
      </c>
      <c r="V71" s="80" t="n"/>
    </row>
    <row r="72" hidden="1" outlineLevel="1" ht="17" customHeight="1" s="59">
      <c r="A72" s="80" t="inlineStr">
        <is>
          <t>PRBC-01 历代典藏合集 原箱（简中）</t>
        </is>
      </c>
      <c r="B72" s="80" t="inlineStr">
        <is>
          <t>PRBC-01</t>
        </is>
      </c>
      <c r="C72" s="81" t="inlineStr">
        <is>
          <t>原盒</t>
        </is>
      </c>
      <c r="D72" s="82" t="inlineStr">
        <is>
          <t>原箱</t>
        </is>
      </c>
      <c r="E72" s="81" t="inlineStr">
        <is>
          <t>在售</t>
        </is>
      </c>
      <c r="F72" s="81" t="n">
        <v>0</v>
      </c>
      <c r="G72" s="81" t="n"/>
      <c r="H72" s="81" t="n"/>
      <c r="I72" s="81" t="inlineStr">
        <is>
          <t>简中</t>
        </is>
      </c>
      <c r="J72" s="81" t="inlineStr">
        <is>
          <t>未上架</t>
        </is>
      </c>
      <c r="K72" s="81" t="inlineStr">
        <is>
          <t>否</t>
        </is>
      </c>
      <c r="L72" s="81" t="n"/>
      <c r="M72" s="80" t="inlineStr">
        <is>
          <t>2024-09-17T00:00:00</t>
        </is>
      </c>
      <c r="N72" s="81" t="n"/>
      <c r="O72" s="80" t="inlineStr">
        <is>
          <t>/products/onepiece-official/prbc-01-pack.png</t>
        </is>
      </c>
      <c r="P72" s="81" t="n"/>
      <c r="Q72" s="81" t="inlineStr">
        <is>
          <t>扩充包</t>
        </is>
      </c>
      <c r="R72" s="80" t="inlineStr">
        <is>
          <t>官方 onepiece-cardgame.cn 已发售（豪华合集），本店未查到对应商品页，暂未上架。价格/库存/成本待你核实补录。</t>
        </is>
      </c>
      <c r="S72" s="80" t="n"/>
      <c r="T72" s="80" t="n"/>
      <c r="U72" s="81" t="inlineStr">
        <is>
          <t>海贼王</t>
        </is>
      </c>
      <c r="V72" s="80" t="n"/>
    </row>
    <row r="73" ht="6" customHeight="1" s="59"/>
    <row r="74" ht="20" customHeight="1" s="59">
      <c r="A74" s="75" t="inlineStr">
        <is>
          <t>挂盒 / 预组 / STC</t>
        </is>
      </c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</row>
    <row r="75" ht="18" customHeight="1" s="59">
      <c r="A75" s="77" t="inlineStr">
        <is>
          <t>基本卡组 对战进阶套组2026（官方名称，简中定价待官方公布）</t>
        </is>
      </c>
      <c r="B75" s="77" t="inlineStr">
        <is>
          <t>STC-31~36</t>
        </is>
      </c>
      <c r="C75" s="78" t="inlineStr">
        <is>
          <t>卡组</t>
        </is>
      </c>
      <c r="D75" s="79" t="inlineStr">
        <is>
          <t>原盒</t>
        </is>
      </c>
      <c r="E75" s="78" t="inlineStr">
        <is>
          <t>未上架</t>
        </is>
      </c>
      <c r="F75" s="78" t="n">
        <v>0</v>
      </c>
      <c r="G75" s="78" t="n"/>
      <c r="H75" s="78" t="n"/>
      <c r="I75" s="78" t="inlineStr">
        <is>
          <t>简中</t>
        </is>
      </c>
      <c r="J75" s="78" t="inlineStr">
        <is>
          <t>未上架</t>
        </is>
      </c>
      <c r="K75" s="78" t="inlineStr">
        <is>
          <t>否</t>
        </is>
      </c>
      <c r="L75" s="78" t="n"/>
      <c r="M75" s="77" t="inlineStr">
        <is>
          <t>2026-07-11T00:00:00</t>
        </is>
      </c>
      <c r="N75" s="78" t="n"/>
      <c r="O75" s="77" t="inlineStr">
        <is>
          <t>/products/onepiece-official/stc-31-36-decks.png</t>
        </is>
      </c>
      <c r="P75" s="78" t="n"/>
      <c r="Q75" s="78" t="inlineStr">
        <is>
          <t>挂盒</t>
        </is>
      </c>
      <c r="R75" s="77" t="inlineStr">
        <is>
          <t>官方 onepiece-cardgame.cn 已发售的构筑卡组，本店未查到对应商品页，暂未上架。价格/库存/成本待你核实补录。</t>
        </is>
      </c>
      <c r="S75" s="77" t="n"/>
      <c r="T75" s="77" t="n"/>
      <c r="U75" s="78" t="inlineStr">
        <is>
          <t>One Piece</t>
        </is>
      </c>
      <c r="V75" s="77" t="n"/>
    </row>
    <row r="76" ht="18" customHeight="1" s="59">
      <c r="A76" s="83" t="inlineStr">
        <is>
          <t>基本卡组 艾格赫德（官方名称，简中定价待官方公布）</t>
        </is>
      </c>
      <c r="B76" s="83" t="inlineStr">
        <is>
          <t>STC-29</t>
        </is>
      </c>
      <c r="C76" s="84" t="inlineStr">
        <is>
          <t>卡组</t>
        </is>
      </c>
      <c r="D76" s="79" t="inlineStr">
        <is>
          <t>原盒</t>
        </is>
      </c>
      <c r="E76" s="84" t="inlineStr">
        <is>
          <t>未上架</t>
        </is>
      </c>
      <c r="F76" s="84" t="n">
        <v>0</v>
      </c>
      <c r="G76" s="84" t="n"/>
      <c r="H76" s="84" t="n"/>
      <c r="I76" s="84" t="inlineStr">
        <is>
          <t>简中</t>
        </is>
      </c>
      <c r="J76" s="84" t="inlineStr">
        <is>
          <t>未上架</t>
        </is>
      </c>
      <c r="K76" s="84" t="inlineStr">
        <is>
          <t>否</t>
        </is>
      </c>
      <c r="L76" s="84" t="n"/>
      <c r="M76" s="83" t="inlineStr">
        <is>
          <t>2025-12-26T00:00:00</t>
        </is>
      </c>
      <c r="N76" s="84" t="n"/>
      <c r="O76" s="83" t="inlineStr">
        <is>
          <t>/products/onepiece-official/stc-29-deck.png</t>
        </is>
      </c>
      <c r="P76" s="84" t="n"/>
      <c r="Q76" s="84" t="inlineStr">
        <is>
          <t>挂盒</t>
        </is>
      </c>
      <c r="R76" s="83" t="inlineStr">
        <is>
          <t>官方 onepiece-cardgame.cn 已发售的构筑卡组，本店未查到对应商品页，暂未上架。价格/库存/成本待你核实补录。</t>
        </is>
      </c>
      <c r="S76" s="83" t="n"/>
      <c r="T76" s="83" t="n"/>
      <c r="U76" s="84" t="inlineStr">
        <is>
          <t>One Piece</t>
        </is>
      </c>
      <c r="V76" s="83" t="n"/>
    </row>
    <row r="77" ht="18" customHeight="1" s="59">
      <c r="A77" s="77" t="inlineStr">
        <is>
          <t>基本卡组 对战进阶套组2025（官方名称，简中定价待官方公布）</t>
        </is>
      </c>
      <c r="B77" s="77" t="inlineStr">
        <is>
          <t>STC-23~28</t>
        </is>
      </c>
      <c r="C77" s="78" t="inlineStr">
        <is>
          <t>卡组</t>
        </is>
      </c>
      <c r="D77" s="79" t="inlineStr">
        <is>
          <t>原盒</t>
        </is>
      </c>
      <c r="E77" s="78" t="inlineStr">
        <is>
          <t>未上架</t>
        </is>
      </c>
      <c r="F77" s="78" t="n">
        <v>0</v>
      </c>
      <c r="G77" s="78" t="n"/>
      <c r="H77" s="78" t="n"/>
      <c r="I77" s="78" t="inlineStr">
        <is>
          <t>简中</t>
        </is>
      </c>
      <c r="J77" s="78" t="inlineStr">
        <is>
          <t>未上架</t>
        </is>
      </c>
      <c r="K77" s="78" t="inlineStr">
        <is>
          <t>否</t>
        </is>
      </c>
      <c r="L77" s="78" t="n"/>
      <c r="M77" s="77" t="inlineStr">
        <is>
          <t>2025-08-07T00:00:00</t>
        </is>
      </c>
      <c r="N77" s="78" t="n"/>
      <c r="O77" s="77" t="inlineStr">
        <is>
          <t>/products/onepiece-official/stc-23-28-decks.png</t>
        </is>
      </c>
      <c r="P77" s="78" t="n"/>
      <c r="Q77" s="78" t="inlineStr">
        <is>
          <t>挂盒</t>
        </is>
      </c>
      <c r="R77" s="77" t="inlineStr">
        <is>
          <t>官方 onepiece-cardgame.cn 已发售的构筑卡组，本店未查到对应商品页，暂未上架。价格/库存/成本待你核实补录。</t>
        </is>
      </c>
      <c r="S77" s="77" t="n"/>
      <c r="T77" s="77" t="n"/>
      <c r="U77" s="78" t="inlineStr">
        <is>
          <t>One Piece</t>
        </is>
      </c>
      <c r="V77" s="77" t="n"/>
    </row>
    <row r="78" ht="18" customHeight="1" s="59">
      <c r="A78" s="83" t="inlineStr">
        <is>
          <t>基本卡组 两年后再出发（官方名称，简中定价待官方公布）</t>
        </is>
      </c>
      <c r="B78" s="83" t="inlineStr">
        <is>
          <t>STC-14</t>
        </is>
      </c>
      <c r="C78" s="84" t="inlineStr">
        <is>
          <t>卡组</t>
        </is>
      </c>
      <c r="D78" s="79" t="inlineStr">
        <is>
          <t>原盒</t>
        </is>
      </c>
      <c r="E78" s="84" t="inlineStr">
        <is>
          <t>未上架</t>
        </is>
      </c>
      <c r="F78" s="84" t="n">
        <v>0</v>
      </c>
      <c r="G78" s="84" t="n"/>
      <c r="H78" s="84" t="n"/>
      <c r="I78" s="84" t="inlineStr">
        <is>
          <t>简中</t>
        </is>
      </c>
      <c r="J78" s="84" t="inlineStr">
        <is>
          <t>未上架</t>
        </is>
      </c>
      <c r="K78" s="84" t="inlineStr">
        <is>
          <t>否</t>
        </is>
      </c>
      <c r="L78" s="84" t="n"/>
      <c r="M78" s="83" t="inlineStr">
        <is>
          <t>2024-06-25T00:00:00</t>
        </is>
      </c>
      <c r="N78" s="84" t="n"/>
      <c r="O78" s="83" t="inlineStr">
        <is>
          <t>/products/onepiece-official/stc-14-deck.png</t>
        </is>
      </c>
      <c r="P78" s="84" t="n"/>
      <c r="Q78" s="84" t="inlineStr">
        <is>
          <t>挂盒</t>
        </is>
      </c>
      <c r="R78" s="83" t="inlineStr">
        <is>
          <t>官方 onepiece-cardgame.cn 已发售的构筑卡组，本店未查到对应商品页，暂未上架。价格/库存/成本待你核实补录。</t>
        </is>
      </c>
      <c r="S78" s="83" t="n"/>
      <c r="T78" s="83" t="n"/>
      <c r="U78" s="84" t="inlineStr">
        <is>
          <t>One Piece</t>
        </is>
      </c>
      <c r="V78" s="83" t="n"/>
    </row>
    <row r="79" ht="18" customHeight="1" s="59">
      <c r="A79" s="77" t="inlineStr">
        <is>
          <t>究极进阶卡组 奇迹的再会（官方名称，简中定价待官方公布）</t>
        </is>
      </c>
      <c r="B79" s="77" t="inlineStr">
        <is>
          <t>STC-13</t>
        </is>
      </c>
      <c r="C79" s="78" t="inlineStr">
        <is>
          <t>卡组</t>
        </is>
      </c>
      <c r="D79" s="79" t="inlineStr">
        <is>
          <t>原盒</t>
        </is>
      </c>
      <c r="E79" s="78" t="inlineStr">
        <is>
          <t>未上架</t>
        </is>
      </c>
      <c r="F79" s="78" t="n">
        <v>0</v>
      </c>
      <c r="G79" s="78" t="n"/>
      <c r="H79" s="78" t="n"/>
      <c r="I79" s="78" t="inlineStr">
        <is>
          <t>简中</t>
        </is>
      </c>
      <c r="J79" s="78" t="inlineStr">
        <is>
          <t>未上架</t>
        </is>
      </c>
      <c r="K79" s="78" t="inlineStr">
        <is>
          <t>否</t>
        </is>
      </c>
      <c r="L79" s="78" t="n"/>
      <c r="M79" s="77" t="inlineStr">
        <is>
          <t>2024-03-13T00:00:00</t>
        </is>
      </c>
      <c r="N79" s="78" t="n"/>
      <c r="O79" s="77" t="inlineStr">
        <is>
          <t>/products/onepiece-official/stc-13-deck.png</t>
        </is>
      </c>
      <c r="P79" s="78" t="n"/>
      <c r="Q79" s="78" t="inlineStr">
        <is>
          <t>挂盒</t>
        </is>
      </c>
      <c r="R79" s="77" t="inlineStr">
        <is>
          <t>官方 onepiece-cardgame.cn 已发售的构筑卡组，本店未查到对应商品页，暂未上架。价格/库存/成本待你核实补录。</t>
        </is>
      </c>
      <c r="S79" s="77" t="n"/>
      <c r="T79" s="77" t="n"/>
      <c r="U79" s="78" t="inlineStr">
        <is>
          <t>One Piece</t>
        </is>
      </c>
      <c r="V79" s="77" t="n"/>
    </row>
    <row r="80" ht="18" customHeight="1" s="59">
      <c r="A80" s="83" t="inlineStr">
        <is>
          <t>基本卡组 佐罗＆山智（官方名称，简中定价待官方公布）</t>
        </is>
      </c>
      <c r="B80" s="83" t="inlineStr">
        <is>
          <t>STC-12</t>
        </is>
      </c>
      <c r="C80" s="84" t="inlineStr">
        <is>
          <t>卡组</t>
        </is>
      </c>
      <c r="D80" s="79" t="inlineStr">
        <is>
          <t>原盒</t>
        </is>
      </c>
      <c r="E80" s="84" t="inlineStr">
        <is>
          <t>未上架</t>
        </is>
      </c>
      <c r="F80" s="84" t="n">
        <v>0</v>
      </c>
      <c r="G80" s="84" t="n"/>
      <c r="H80" s="84" t="n"/>
      <c r="I80" s="84" t="inlineStr">
        <is>
          <t>简中</t>
        </is>
      </c>
      <c r="J80" s="84" t="inlineStr">
        <is>
          <t>未上架</t>
        </is>
      </c>
      <c r="K80" s="84" t="inlineStr">
        <is>
          <t>否</t>
        </is>
      </c>
      <c r="L80" s="84" t="n"/>
      <c r="M80" s="83" t="inlineStr">
        <is>
          <t>2024-01-12T00:00:00</t>
        </is>
      </c>
      <c r="N80" s="84" t="n"/>
      <c r="O80" s="83" t="inlineStr">
        <is>
          <t>/products/onepiece-official/stc-12-deck.png</t>
        </is>
      </c>
      <c r="P80" s="84" t="n"/>
      <c r="Q80" s="84" t="inlineStr">
        <is>
          <t>挂盒</t>
        </is>
      </c>
      <c r="R80" s="83" t="inlineStr">
        <is>
          <t>官方 onepiece-cardgame.cn 已发售的构筑卡组，本店未查到对应商品页，暂未上架。价格/库存/成本待你核实补录。</t>
        </is>
      </c>
      <c r="S80" s="83" t="n"/>
      <c r="T80" s="83" t="n"/>
      <c r="U80" s="84" t="inlineStr">
        <is>
          <t>One Piece</t>
        </is>
      </c>
      <c r="V80" s="83" t="n"/>
    </row>
    <row r="81" ht="18" customHeight="1" s="59">
      <c r="A81" s="77" t="inlineStr">
        <is>
          <t>究极进阶卡组 三方船长集结（官方名称，简中定价待官方公布）</t>
        </is>
      </c>
      <c r="B81" s="77" t="inlineStr">
        <is>
          <t>STC-10</t>
        </is>
      </c>
      <c r="C81" s="78" t="inlineStr">
        <is>
          <t>卡组</t>
        </is>
      </c>
      <c r="D81" s="79" t="inlineStr">
        <is>
          <t>原盒</t>
        </is>
      </c>
      <c r="E81" s="78" t="inlineStr">
        <is>
          <t>未上架</t>
        </is>
      </c>
      <c r="F81" s="78" t="n">
        <v>0</v>
      </c>
      <c r="G81" s="78" t="n"/>
      <c r="H81" s="78" t="n"/>
      <c r="I81" s="78" t="inlineStr">
        <is>
          <t>简中</t>
        </is>
      </c>
      <c r="J81" s="78" t="inlineStr">
        <is>
          <t>未上架</t>
        </is>
      </c>
      <c r="K81" s="78" t="inlineStr">
        <is>
          <t>否</t>
        </is>
      </c>
      <c r="L81" s="78" t="n"/>
      <c r="M81" s="77" t="inlineStr">
        <is>
          <t>2023-10-27T00:00:00</t>
        </is>
      </c>
      <c r="N81" s="78" t="n"/>
      <c r="O81" s="77" t="inlineStr">
        <is>
          <t>/products/onepiece-official/stc-10-deck.png</t>
        </is>
      </c>
      <c r="P81" s="78" t="n"/>
      <c r="Q81" s="78" t="inlineStr">
        <is>
          <t>挂盒</t>
        </is>
      </c>
      <c r="R81" s="77" t="inlineStr">
        <is>
          <t>官方 onepiece-cardgame.cn 已发售的构筑卡组，本店未查到对应商品页，暂未上架。价格/库存/成本待你核实补录。</t>
        </is>
      </c>
      <c r="S81" s="77" t="n"/>
      <c r="T81" s="77" t="n"/>
      <c r="U81" s="78" t="inlineStr">
        <is>
          <t>One Piece</t>
        </is>
      </c>
      <c r="V81" s="77" t="n"/>
    </row>
    <row r="82" ht="18" customHeight="1" s="59">
      <c r="A82" s="83" t="inlineStr">
        <is>
          <t>基本卡组 继承御殿遗志的人（官方名称，简中定价待官方公布）</t>
        </is>
      </c>
      <c r="B82" s="83" t="inlineStr">
        <is>
          <t>STC-09</t>
        </is>
      </c>
      <c r="C82" s="84" t="inlineStr">
        <is>
          <t>卡组</t>
        </is>
      </c>
      <c r="D82" s="79" t="inlineStr">
        <is>
          <t>原盒</t>
        </is>
      </c>
      <c r="E82" s="84" t="inlineStr">
        <is>
          <t>未上架</t>
        </is>
      </c>
      <c r="F82" s="84" t="n">
        <v>0</v>
      </c>
      <c r="G82" s="84" t="n"/>
      <c r="H82" s="84" t="n"/>
      <c r="I82" s="84" t="inlineStr">
        <is>
          <t>简中</t>
        </is>
      </c>
      <c r="J82" s="84" t="inlineStr">
        <is>
          <t>未上架</t>
        </is>
      </c>
      <c r="K82" s="84" t="inlineStr">
        <is>
          <t>否</t>
        </is>
      </c>
      <c r="L82" s="84" t="n"/>
      <c r="M82" s="83" t="inlineStr">
        <is>
          <t>2023-08-11T00:00:00</t>
        </is>
      </c>
      <c r="N82" s="84" t="n"/>
      <c r="O82" s="83" t="inlineStr">
        <is>
          <t>/products/onepiece-official/stc-09-deck.png</t>
        </is>
      </c>
      <c r="P82" s="84" t="n"/>
      <c r="Q82" s="84" t="inlineStr">
        <is>
          <t>挂盒</t>
        </is>
      </c>
      <c r="R82" s="83" t="inlineStr">
        <is>
          <t>官方 onepiece-cardgame.cn 已发售的构筑卡组，本店未查到对应商品页，暂未上架。价格/库存/成本待你核实补录。</t>
        </is>
      </c>
      <c r="S82" s="83" t="n"/>
      <c r="T82" s="83" t="n"/>
      <c r="U82" s="84" t="inlineStr">
        <is>
          <t>One Piece</t>
        </is>
      </c>
      <c r="V82" s="83" t="n"/>
    </row>
    <row r="83" ht="18" customHeight="1" s="59">
      <c r="A83" s="77" t="inlineStr">
        <is>
          <t>基本卡组 第五个海上皇帝（官方名称，简中定价待官方公布）</t>
        </is>
      </c>
      <c r="B83" s="77" t="inlineStr">
        <is>
          <t>STC-08</t>
        </is>
      </c>
      <c r="C83" s="78" t="inlineStr">
        <is>
          <t>卡组</t>
        </is>
      </c>
      <c r="D83" s="79" t="inlineStr">
        <is>
          <t>原盒</t>
        </is>
      </c>
      <c r="E83" s="78" t="inlineStr">
        <is>
          <t>未上架</t>
        </is>
      </c>
      <c r="F83" s="78" t="n">
        <v>0</v>
      </c>
      <c r="G83" s="78" t="n"/>
      <c r="H83" s="78" t="n"/>
      <c r="I83" s="78" t="inlineStr">
        <is>
          <t>简中</t>
        </is>
      </c>
      <c r="J83" s="78" t="inlineStr">
        <is>
          <t>未上架</t>
        </is>
      </c>
      <c r="K83" s="78" t="inlineStr">
        <is>
          <t>否</t>
        </is>
      </c>
      <c r="L83" s="78" t="n"/>
      <c r="M83" s="77" t="inlineStr">
        <is>
          <t>2023-08-11T00:00:00</t>
        </is>
      </c>
      <c r="N83" s="78" t="n"/>
      <c r="O83" s="77" t="inlineStr">
        <is>
          <t>/products/onepiece-official/stc-08-deck.png</t>
        </is>
      </c>
      <c r="P83" s="78" t="n"/>
      <c r="Q83" s="78" t="inlineStr">
        <is>
          <t>挂盒</t>
        </is>
      </c>
      <c r="R83" s="77" t="inlineStr">
        <is>
          <t>官方 onepiece-cardgame.cn 已发售的构筑卡组，本店未查到对应商品页，暂未上架。价格/库存/成本待你核实补录。</t>
        </is>
      </c>
      <c r="S83" s="77" t="n"/>
      <c r="T83" s="77" t="n"/>
      <c r="U83" s="78" t="inlineStr">
        <is>
          <t>One Piece</t>
        </is>
      </c>
      <c r="V83" s="77" t="n"/>
    </row>
    <row r="84" ht="18" customHeight="1" s="59">
      <c r="A84" s="83" t="inlineStr">
        <is>
          <t>基本卡组 大妈海盗团（官方名称，简中定价待官方公布）</t>
        </is>
      </c>
      <c r="B84" s="83" t="inlineStr">
        <is>
          <t>STC-07</t>
        </is>
      </c>
      <c r="C84" s="84" t="inlineStr">
        <is>
          <t>卡组</t>
        </is>
      </c>
      <c r="D84" s="79" t="inlineStr">
        <is>
          <t>原盒</t>
        </is>
      </c>
      <c r="E84" s="84" t="inlineStr">
        <is>
          <t>未上架</t>
        </is>
      </c>
      <c r="F84" s="84" t="n">
        <v>0</v>
      </c>
      <c r="G84" s="84" t="n"/>
      <c r="H84" s="84" t="n"/>
      <c r="I84" s="84" t="inlineStr">
        <is>
          <t>简中</t>
        </is>
      </c>
      <c r="J84" s="84" t="inlineStr">
        <is>
          <t>未上架</t>
        </is>
      </c>
      <c r="K84" s="84" t="inlineStr">
        <is>
          <t>否</t>
        </is>
      </c>
      <c r="L84" s="84" t="n"/>
      <c r="M84" s="83" t="inlineStr">
        <is>
          <t>2023-04-21T00:00:00</t>
        </is>
      </c>
      <c r="N84" s="84" t="n"/>
      <c r="O84" s="83" t="inlineStr">
        <is>
          <t>/products/onepiece-official/stc-07-deck.png</t>
        </is>
      </c>
      <c r="P84" s="84" t="n"/>
      <c r="Q84" s="84" t="inlineStr">
        <is>
          <t>挂盒</t>
        </is>
      </c>
      <c r="R84" s="83" t="inlineStr">
        <is>
          <t>官方 onepiece-cardgame.cn 已发售的构筑卡组，本店未查到对应商品页，暂未上架。价格/库存/成本待你核实补录。</t>
        </is>
      </c>
      <c r="S84" s="83" t="n"/>
      <c r="T84" s="83" t="n"/>
      <c r="U84" s="84" t="inlineStr">
        <is>
          <t>One Piece</t>
        </is>
      </c>
      <c r="V84" s="83" t="n"/>
    </row>
    <row r="85" ht="18" customHeight="1" s="59">
      <c r="A85" s="77" t="inlineStr">
        <is>
          <t>STC-06 基本卡组 绝对正义（简中）</t>
        </is>
      </c>
      <c r="B85" s="77" t="inlineStr">
        <is>
          <t>STC-06</t>
        </is>
      </c>
      <c r="C85" s="78" t="inlineStr">
        <is>
          <t>卡组</t>
        </is>
      </c>
      <c r="D85" s="79" t="inlineStr">
        <is>
          <t>原盒</t>
        </is>
      </c>
      <c r="E85" s="78" t="inlineStr">
        <is>
          <t>在售</t>
        </is>
      </c>
      <c r="F85" s="78" t="n">
        <v>100</v>
      </c>
      <c r="G85" s="78" t="n">
        <v>1380</v>
      </c>
      <c r="H85" s="78" t="n"/>
      <c r="I85" s="78" t="inlineStr">
        <is>
          <t>简中</t>
        </is>
      </c>
      <c r="J85" s="78" t="inlineStr">
        <is>
          <t>未上架</t>
        </is>
      </c>
      <c r="K85" s="78" t="inlineStr">
        <is>
          <t>否</t>
        </is>
      </c>
      <c r="L85" s="78" t="n"/>
      <c r="M85" s="77" t="inlineStr">
        <is>
          <t>2023-01-06T00:00:00</t>
        </is>
      </c>
      <c r="N85" s="78" t="n"/>
      <c r="O85" s="77" t="inlineStr">
        <is>
          <t>/products/onepiece-official/stc-06-deck.jpg</t>
        </is>
      </c>
      <c r="P85" s="78" t="n"/>
      <c r="Q85" s="78" t="inlineStr">
        <is>
          <t>挂盒</t>
        </is>
      </c>
      <c r="R85" s="77" t="inlineStr">
        <is>
          <t>官方 onepiece-cardgame.cn 已发售的构筑卡组，本店未查到对应商品页，暂未上架。价格/库存/成本待你核实补录。</t>
        </is>
      </c>
      <c r="S85" s="77" t="n"/>
      <c r="T85" s="77" t="n"/>
      <c r="U85" s="78" t="inlineStr">
        <is>
          <t>海贼王</t>
        </is>
      </c>
      <c r="V85" s="77" t="n"/>
    </row>
    <row r="86" ht="18" customHeight="1" s="59">
      <c r="A86" s="83" t="inlineStr">
        <is>
          <t>基本卡组 ONE PIECE FILM edition（官方名称，简中定价待官方公布）</t>
        </is>
      </c>
      <c r="B86" s="83" t="inlineStr">
        <is>
          <t>STC-05</t>
        </is>
      </c>
      <c r="C86" s="84" t="inlineStr">
        <is>
          <t>卡组</t>
        </is>
      </c>
      <c r="D86" s="79" t="inlineStr">
        <is>
          <t>原盒</t>
        </is>
      </c>
      <c r="E86" s="84" t="inlineStr">
        <is>
          <t>未上架</t>
        </is>
      </c>
      <c r="F86" s="84" t="n">
        <v>0</v>
      </c>
      <c r="G86" s="84" t="n"/>
      <c r="H86" s="84" t="n"/>
      <c r="I86" s="84" t="inlineStr">
        <is>
          <t>简中</t>
        </is>
      </c>
      <c r="J86" s="84" t="inlineStr">
        <is>
          <t>未上架</t>
        </is>
      </c>
      <c r="K86" s="84" t="inlineStr">
        <is>
          <t>否</t>
        </is>
      </c>
      <c r="L86" s="84" t="n"/>
      <c r="M86" s="83" t="inlineStr">
        <is>
          <t>2022-12-09T00:00:00</t>
        </is>
      </c>
      <c r="N86" s="84" t="n"/>
      <c r="O86" s="83" t="inlineStr">
        <is>
          <t>/products/onepiece-official/stc-05-deck.png</t>
        </is>
      </c>
      <c r="P86" s="84" t="n"/>
      <c r="Q86" s="84" t="inlineStr">
        <is>
          <t>挂盒</t>
        </is>
      </c>
      <c r="R86" s="83" t="inlineStr">
        <is>
          <t>官方 onepiece-cardgame.cn 已发售的构筑卡组，本店未查到对应商品页，暂未上架。价格/库存/成本待你核实补录。</t>
        </is>
      </c>
      <c r="S86" s="83" t="n"/>
      <c r="T86" s="83" t="n"/>
      <c r="U86" s="84" t="inlineStr">
        <is>
          <t>One Piece</t>
        </is>
      </c>
      <c r="V86" s="83" t="n"/>
    </row>
    <row r="87" ht="18" customHeight="1" s="59">
      <c r="A87" s="77" t="inlineStr">
        <is>
          <t>STC-01 基本卡组 草帽一伙（简中）</t>
        </is>
      </c>
      <c r="B87" s="77" t="inlineStr">
        <is>
          <t>STC-01</t>
        </is>
      </c>
      <c r="C87" s="78" t="inlineStr">
        <is>
          <t>预组</t>
        </is>
      </c>
      <c r="D87" s="79" t="inlineStr">
        <is>
          <t>原盒</t>
        </is>
      </c>
      <c r="E87" s="78" t="inlineStr">
        <is>
          <t>在售</t>
        </is>
      </c>
      <c r="F87" s="78" t="n">
        <v>100</v>
      </c>
      <c r="G87" s="78" t="n">
        <v>1380</v>
      </c>
      <c r="H87" s="78" t="n"/>
      <c r="I87" s="78" t="inlineStr">
        <is>
          <t>简中</t>
        </is>
      </c>
      <c r="J87" s="78" t="inlineStr">
        <is>
          <t>上架</t>
        </is>
      </c>
      <c r="K87" s="78" t="inlineStr">
        <is>
          <t>否</t>
        </is>
      </c>
      <c r="L87" s="78" t="inlineStr">
        <is>
          <t>否</t>
        </is>
      </c>
      <c r="M87" s="77" t="n"/>
      <c r="N87" s="78" t="n">
        <v>6</v>
      </c>
      <c r="O87" s="77" t="inlineStr">
        <is>
          <t>/products/onepiece-official/stc-01-deck.jpg</t>
        </is>
      </c>
      <c r="P87" s="78" t="n"/>
      <c r="Q87" s="78" t="inlineStr">
        <is>
          <t>预组</t>
        </is>
      </c>
      <c r="R87" s="77" t="inlineStr">
        <is>
          <t>来自网站 DB。</t>
        </is>
      </c>
      <c r="S87" s="77" t="n"/>
      <c r="T87" s="77" t="inlineStr">
        <is>
          <t>STC-01-草帽一伙-简中</t>
        </is>
      </c>
      <c r="U87" s="78" t="inlineStr">
        <is>
          <t>海贼王</t>
        </is>
      </c>
      <c r="V87" s="77" t="n"/>
    </row>
    <row r="88" ht="18" customHeight="1" s="59">
      <c r="A88" s="83" t="inlineStr">
        <is>
          <t>STC-02 基本卡组 超新星们（简中）</t>
        </is>
      </c>
      <c r="B88" s="83" t="inlineStr">
        <is>
          <t>STC-02</t>
        </is>
      </c>
      <c r="C88" s="84" t="inlineStr">
        <is>
          <t>预组</t>
        </is>
      </c>
      <c r="D88" s="79" t="inlineStr">
        <is>
          <t>原盒</t>
        </is>
      </c>
      <c r="E88" s="84" t="inlineStr">
        <is>
          <t>在售</t>
        </is>
      </c>
      <c r="F88" s="84" t="n">
        <v>100</v>
      </c>
      <c r="G88" s="84" t="n">
        <v>1380</v>
      </c>
      <c r="H88" s="84" t="n"/>
      <c r="I88" s="84" t="inlineStr">
        <is>
          <t>简中</t>
        </is>
      </c>
      <c r="J88" s="84" t="inlineStr">
        <is>
          <t>上架</t>
        </is>
      </c>
      <c r="K88" s="84" t="inlineStr">
        <is>
          <t>否</t>
        </is>
      </c>
      <c r="L88" s="84" t="inlineStr">
        <is>
          <t>否</t>
        </is>
      </c>
      <c r="M88" s="83" t="n"/>
      <c r="N88" s="84" t="n">
        <v>6</v>
      </c>
      <c r="O88" s="83" t="inlineStr">
        <is>
          <t>/products/onepiece-official/stc-02-deck.jpg</t>
        </is>
      </c>
      <c r="P88" s="84" t="n"/>
      <c r="Q88" s="84" t="inlineStr">
        <is>
          <t>预组</t>
        </is>
      </c>
      <c r="R88" s="83" t="inlineStr">
        <is>
          <t>来自网站 DB。</t>
        </is>
      </c>
      <c r="S88" s="83" t="n"/>
      <c r="T88" s="83" t="inlineStr">
        <is>
          <t>STC-02-超新星们-简中</t>
        </is>
      </c>
      <c r="U88" s="84" t="inlineStr">
        <is>
          <t>海贼王</t>
        </is>
      </c>
      <c r="V88" s="83" t="n"/>
    </row>
    <row r="89" ht="18" customHeight="1" s="59">
      <c r="A89" s="77" t="inlineStr">
        <is>
          <t>STC-03 基本卡组 王下七武海（简中）</t>
        </is>
      </c>
      <c r="B89" s="77" t="inlineStr">
        <is>
          <t>STC-03</t>
        </is>
      </c>
      <c r="C89" s="78" t="inlineStr">
        <is>
          <t>预组</t>
        </is>
      </c>
      <c r="D89" s="79" t="inlineStr">
        <is>
          <t>原盒</t>
        </is>
      </c>
      <c r="E89" s="78" t="inlineStr">
        <is>
          <t>在售</t>
        </is>
      </c>
      <c r="F89" s="78" t="n">
        <v>100</v>
      </c>
      <c r="G89" s="78" t="n">
        <v>1380</v>
      </c>
      <c r="H89" s="78" t="n"/>
      <c r="I89" s="78" t="inlineStr">
        <is>
          <t>简中</t>
        </is>
      </c>
      <c r="J89" s="78" t="inlineStr">
        <is>
          <t>上架</t>
        </is>
      </c>
      <c r="K89" s="78" t="inlineStr">
        <is>
          <t>否</t>
        </is>
      </c>
      <c r="L89" s="78" t="inlineStr">
        <is>
          <t>否</t>
        </is>
      </c>
      <c r="M89" s="77" t="n"/>
      <c r="N89" s="78" t="n">
        <v>6</v>
      </c>
      <c r="O89" s="77" t="inlineStr">
        <is>
          <t>/products/onepiece-official/stc-03-deck.jpg</t>
        </is>
      </c>
      <c r="P89" s="78" t="n"/>
      <c r="Q89" s="78" t="inlineStr">
        <is>
          <t>预组</t>
        </is>
      </c>
      <c r="R89" s="77" t="inlineStr">
        <is>
          <t>来自网站 DB。</t>
        </is>
      </c>
      <c r="S89" s="77" t="n"/>
      <c r="T89" s="77" t="inlineStr">
        <is>
          <t>STC-03-王下七武海-简中</t>
        </is>
      </c>
      <c r="U89" s="78" t="inlineStr">
        <is>
          <t>海贼王</t>
        </is>
      </c>
      <c r="V89" s="77" t="n"/>
    </row>
    <row r="90" ht="18" customHeight="1" s="59">
      <c r="A90" s="83" t="inlineStr">
        <is>
          <t>STC-04 基本卡组 百兽海盗团（简中）</t>
        </is>
      </c>
      <c r="B90" s="83" t="inlineStr">
        <is>
          <t>STC-04</t>
        </is>
      </c>
      <c r="C90" s="84" t="inlineStr">
        <is>
          <t>预组</t>
        </is>
      </c>
      <c r="D90" s="79" t="inlineStr">
        <is>
          <t>原盒</t>
        </is>
      </c>
      <c r="E90" s="84" t="inlineStr">
        <is>
          <t>在售</t>
        </is>
      </c>
      <c r="F90" s="84" t="n">
        <v>100</v>
      </c>
      <c r="G90" s="84" t="n">
        <v>1380</v>
      </c>
      <c r="H90" s="84" t="n"/>
      <c r="I90" s="84" t="inlineStr">
        <is>
          <t>简中</t>
        </is>
      </c>
      <c r="J90" s="84" t="inlineStr">
        <is>
          <t>上架</t>
        </is>
      </c>
      <c r="K90" s="84" t="inlineStr">
        <is>
          <t>否</t>
        </is>
      </c>
      <c r="L90" s="84" t="inlineStr">
        <is>
          <t>否</t>
        </is>
      </c>
      <c r="M90" s="83" t="n"/>
      <c r="N90" s="84" t="n">
        <v>6</v>
      </c>
      <c r="O90" s="83" t="inlineStr">
        <is>
          <t>/products/onepiece-official/stc-04-deck.jpg</t>
        </is>
      </c>
      <c r="P90" s="84" t="n"/>
      <c r="Q90" s="84" t="inlineStr">
        <is>
          <t>预组</t>
        </is>
      </c>
      <c r="R90" s="83" t="inlineStr">
        <is>
          <t>来自网站 DB。</t>
        </is>
      </c>
      <c r="S90" s="83" t="n"/>
      <c r="T90" s="83" t="inlineStr">
        <is>
          <t>STC-04-百兽海盗团-简中</t>
        </is>
      </c>
      <c r="U90" s="84" t="inlineStr">
        <is>
          <t>海贼王</t>
        </is>
      </c>
      <c r="V90" s="83" t="n"/>
    </row>
    <row r="91" ht="18" customHeight="1" s="59">
      <c r="A91" s="77" t="inlineStr">
        <is>
          <t>基本卡组 变档5档（官方名称，简中定价待官方公布）</t>
        </is>
      </c>
      <c r="B91" s="77" t="inlineStr">
        <is>
          <t>STC-?</t>
        </is>
      </c>
      <c r="C91" s="78" t="inlineStr">
        <is>
          <t>卡组</t>
        </is>
      </c>
      <c r="D91" s="79" t="inlineStr">
        <is>
          <t>原盒</t>
        </is>
      </c>
      <c r="E91" s="78" t="inlineStr">
        <is>
          <t>未上架</t>
        </is>
      </c>
      <c r="F91" s="78" t="n">
        <v>0</v>
      </c>
      <c r="G91" s="78" t="n"/>
      <c r="H91" s="78" t="n"/>
      <c r="I91" s="78" t="inlineStr">
        <is>
          <t>简中</t>
        </is>
      </c>
      <c r="J91" s="78" t="inlineStr">
        <is>
          <t>未上架</t>
        </is>
      </c>
      <c r="K91" s="78" t="inlineStr">
        <is>
          <t>否</t>
        </is>
      </c>
      <c r="L91" s="78" t="n"/>
      <c r="M91" s="77" t="inlineStr">
        <is>
          <t>2025-01-22T00:00:00</t>
        </is>
      </c>
      <c r="N91" s="78" t="n"/>
      <c r="O91" s="77" t="inlineStr">
        <is>
          <t>/products/onepiece-official/stc-15-deck.png</t>
        </is>
      </c>
      <c r="P91" s="78" t="n"/>
      <c r="Q91" s="78" t="inlineStr">
        <is>
          <t>挂盒</t>
        </is>
      </c>
      <c r="R91" s="77" t="inlineStr">
        <is>
          <t>官方 onepiece-cardgame.cn 已发售的构筑卡组，本店未查到对应商品页，暂未上架。价格/库存/成本待你核实补录。</t>
        </is>
      </c>
      <c r="S91" s="77" t="n"/>
      <c r="T91" s="77" t="n"/>
      <c r="U91" s="78" t="inlineStr">
        <is>
          <t>One Piece</t>
        </is>
      </c>
      <c r="V91" s="77" t="n"/>
    </row>
    <row r="92" ht="18" customHeight="1" s="59">
      <c r="A92" s="83" t="inlineStr">
        <is>
          <t>基本卡组 艾斯和纽哥特（官方名称，简中定价待官方公布）</t>
        </is>
      </c>
      <c r="B92" s="83" t="inlineStr">
        <is>
          <t>STC-?</t>
        </is>
      </c>
      <c r="C92" s="84" t="inlineStr">
        <is>
          <t>预组</t>
        </is>
      </c>
      <c r="D92" s="79" t="inlineStr">
        <is>
          <t>原盒</t>
        </is>
      </c>
      <c r="E92" s="84" t="inlineStr">
        <is>
          <t>售罄</t>
        </is>
      </c>
      <c r="F92" s="84" t="n">
        <v>0</v>
      </c>
      <c r="G92" s="84" t="n"/>
      <c r="H92" s="84" t="n"/>
      <c r="I92" s="84" t="inlineStr">
        <is>
          <t>简中</t>
        </is>
      </c>
      <c r="J92" s="84" t="n"/>
      <c r="K92" s="84" t="n"/>
      <c r="L92" s="84" t="n"/>
      <c r="M92" s="83" t="inlineStr">
        <is>
          <t>2025-06-05T00:00:00</t>
        </is>
      </c>
      <c r="N92" s="84" t="n"/>
      <c r="O92" s="83" t="inlineStr">
        <is>
          <t>/products/onepiece-official/stc-30-deck.png</t>
        </is>
      </c>
      <c r="P92" s="84" t="n"/>
      <c r="Q92" s="84" t="inlineStr">
        <is>
          <t>挂盒</t>
        </is>
      </c>
      <c r="R92" s="83" t="inlineStr">
        <is>
          <t>官方 onepiece-cardgame.cn 已发售的构筑卡组，本店未查到对应商品页，暂未上架。价格/库存/成本待你核实补录。</t>
        </is>
      </c>
      <c r="S92" s="83" t="n"/>
      <c r="T92" s="83" t="n"/>
      <c r="U92" s="84" t="inlineStr">
        <is>
          <t>One Piece</t>
        </is>
      </c>
      <c r="V92" s="83" t="n"/>
    </row>
    <row r="93" ht="18" customHeight="1" s="59">
      <c r="A93" s="77" t="inlineStr">
        <is>
          <t>基本卡组 路飞＆艾斯（官方名称，简中定价待官方公布）</t>
        </is>
      </c>
      <c r="B93" s="77" t="inlineStr">
        <is>
          <t>STC-?</t>
        </is>
      </c>
      <c r="C93" s="78" t="inlineStr">
        <is>
          <t>卡组</t>
        </is>
      </c>
      <c r="D93" s="79" t="inlineStr">
        <is>
          <t>原盒</t>
        </is>
      </c>
      <c r="E93" s="78" t="inlineStr">
        <is>
          <t>未上架</t>
        </is>
      </c>
      <c r="F93" s="78" t="n">
        <v>0</v>
      </c>
      <c r="G93" s="78" t="n"/>
      <c r="H93" s="78" t="n"/>
      <c r="I93" s="78" t="inlineStr">
        <is>
          <t>简中</t>
        </is>
      </c>
      <c r="J93" s="78" t="inlineStr">
        <is>
          <t>未上架</t>
        </is>
      </c>
      <c r="K93" s="78" t="inlineStr">
        <is>
          <t>否</t>
        </is>
      </c>
      <c r="L93" s="78" t="n"/>
      <c r="M93" s="77" t="inlineStr">
        <is>
          <t>2026-04-11T00:00:00</t>
        </is>
      </c>
      <c r="N93" s="78" t="n"/>
      <c r="O93" s="77" t="inlineStr">
        <is>
          <t>/products/onepiece-official/stc-22-deck.png</t>
        </is>
      </c>
      <c r="P93" s="78" t="n"/>
      <c r="Q93" s="78" t="inlineStr">
        <is>
          <t>挂盒</t>
        </is>
      </c>
      <c r="R93" s="77" t="inlineStr">
        <is>
          <t>官方 onepiece-cardgame.cn 已发售的构筑卡组，本店未查到对应商品页，暂未上架。价格/库存/成本待你核实补录。</t>
        </is>
      </c>
      <c r="S93" s="77" t="n"/>
      <c r="T93" s="77" t="n"/>
      <c r="U93" s="78" t="inlineStr">
        <is>
          <t>One Piece</t>
        </is>
      </c>
      <c r="V93" s="77" t="n"/>
    </row>
    <row r="94" ht="6" customHeight="1" s="59"/>
    <row r="95" ht="20" customHeight="1" s="59">
      <c r="A95" s="75" t="inlineStr">
        <is>
          <t>礼盒 / 周边</t>
        </is>
      </c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</row>
    <row r="96" ht="18" customHeight="1" s="59">
      <c r="A96" s="83" t="inlineStr">
        <is>
          <t>航海王卡牌对战 四周年纪念套装（简中）</t>
        </is>
      </c>
      <c r="B96" s="83" t="inlineStr">
        <is>
          <t>航海王礼盒</t>
        </is>
      </c>
      <c r="C96" s="84" t="inlineStr">
        <is>
          <t>礼盒</t>
        </is>
      </c>
      <c r="D96" s="79" t="inlineStr">
        <is>
          <t>原盒</t>
        </is>
      </c>
      <c r="E96" s="84" t="inlineStr">
        <is>
          <t>未上架</t>
        </is>
      </c>
      <c r="F96" s="84" t="n">
        <v>0</v>
      </c>
      <c r="G96" s="84" t="n">
        <v>0</v>
      </c>
      <c r="H96" s="84" t="n"/>
      <c r="I96" s="84" t="inlineStr">
        <is>
          <t>简中</t>
        </is>
      </c>
      <c r="J96" s="84" t="inlineStr">
        <is>
          <t>上架</t>
        </is>
      </c>
      <c r="K96" s="84" t="inlineStr">
        <is>
          <t>否</t>
        </is>
      </c>
      <c r="L96" s="84" t="inlineStr">
        <is>
          <t>否</t>
        </is>
      </c>
      <c r="M96" s="83" t="inlineStr">
        <is>
          <t>2026-12-01 00:00:00</t>
        </is>
      </c>
      <c r="N96" s="84" t="n">
        <v>6</v>
      </c>
      <c r="O96" s="83" t="inlineStr">
        <is>
          <t>/products/onepiece-official/gift-128.png</t>
        </is>
      </c>
      <c r="P96" s="84" t="n"/>
      <c r="Q96" s="84" t="inlineStr">
        <is>
          <t>礼盒</t>
        </is>
      </c>
      <c r="R96" s="83" t="inlineStr">
        <is>
          <t>航海王卡牌对战简体中文版官方套装。官方商品 ID：128，价格待核。</t>
        </is>
      </c>
      <c r="S96" s="83" t="n"/>
      <c r="T96" s="83" t="inlineStr">
        <is>
          <t>onepiece-gift-128</t>
        </is>
      </c>
      <c r="U96" s="84" t="n"/>
      <c r="V96" s="83" t="n"/>
    </row>
    <row r="97" ht="18" customHeight="1" s="59">
      <c r="A97" s="77" t="inlineStr">
        <is>
          <t>豪华卡牌收藏 精选套装 Vol.6（简中）</t>
        </is>
      </c>
      <c r="B97" s="77" t="inlineStr">
        <is>
          <t>航海王礼盒</t>
        </is>
      </c>
      <c r="C97" s="78" t="inlineStr">
        <is>
          <t>礼盒</t>
        </is>
      </c>
      <c r="D97" s="79" t="inlineStr">
        <is>
          <t>原盒</t>
        </is>
      </c>
      <c r="E97" s="78" t="inlineStr">
        <is>
          <t>未上架</t>
        </is>
      </c>
      <c r="F97" s="78" t="n">
        <v>0</v>
      </c>
      <c r="G97" s="78" t="n">
        <v>0</v>
      </c>
      <c r="H97" s="78" t="n"/>
      <c r="I97" s="78" t="inlineStr">
        <is>
          <t>简中</t>
        </is>
      </c>
      <c r="J97" s="78" t="inlineStr">
        <is>
          <t>上架</t>
        </is>
      </c>
      <c r="K97" s="78" t="inlineStr">
        <is>
          <t>否</t>
        </is>
      </c>
      <c r="L97" s="78" t="inlineStr">
        <is>
          <t>否</t>
        </is>
      </c>
      <c r="M97" s="77" t="inlineStr">
        <is>
          <t>2026-03-27 08:00:00</t>
        </is>
      </c>
      <c r="N97" s="78" t="n">
        <v>6</v>
      </c>
      <c r="O97" s="77" t="inlineStr">
        <is>
          <t>/products/onepiece-official/gift-123.png</t>
        </is>
      </c>
      <c r="P97" s="78" t="n"/>
      <c r="Q97" s="78" t="inlineStr">
        <is>
          <t>礼盒</t>
        </is>
      </c>
      <c r="R97" s="77" t="inlineStr">
        <is>
          <t>航海王卡牌对战简体中文版官方套装。官方商品 ID：123，价格待核。</t>
        </is>
      </c>
      <c r="S97" s="77" t="n"/>
      <c r="T97" s="77" t="inlineStr">
        <is>
          <t>onepiece-gift-123</t>
        </is>
      </c>
      <c r="U97" s="78" t="n"/>
      <c r="V97" s="77" t="n"/>
    </row>
    <row r="98" ht="18" customHeight="1" s="59">
      <c r="A98" s="83" t="inlineStr">
        <is>
          <t>航海王卡牌对战 豪华卡牌收藏 六种卡牌套装Vol.1（简中）</t>
        </is>
      </c>
      <c r="B98" s="83" t="inlineStr">
        <is>
          <t>航海王礼盒</t>
        </is>
      </c>
      <c r="C98" s="84" t="inlineStr">
        <is>
          <t>礼盒</t>
        </is>
      </c>
      <c r="D98" s="79" t="inlineStr">
        <is>
          <t>原盒</t>
        </is>
      </c>
      <c r="E98" s="84" t="inlineStr">
        <is>
          <t>未上架</t>
        </is>
      </c>
      <c r="F98" s="84" t="n">
        <v>0</v>
      </c>
      <c r="G98" s="84" t="n">
        <v>0</v>
      </c>
      <c r="H98" s="84" t="n"/>
      <c r="I98" s="84" t="inlineStr">
        <is>
          <t>简中</t>
        </is>
      </c>
      <c r="J98" s="84" t="inlineStr">
        <is>
          <t>上架</t>
        </is>
      </c>
      <c r="K98" s="84" t="inlineStr">
        <is>
          <t>否</t>
        </is>
      </c>
      <c r="L98" s="84" t="inlineStr">
        <is>
          <t>否</t>
        </is>
      </c>
      <c r="M98" s="83" t="inlineStr">
        <is>
          <t>2025-12-17 08:00:00</t>
        </is>
      </c>
      <c r="N98" s="84" t="n">
        <v>6</v>
      </c>
      <c r="O98" s="83" t="inlineStr">
        <is>
          <t>/products/onepiece-official/gift-113.png</t>
        </is>
      </c>
      <c r="P98" s="84" t="n"/>
      <c r="Q98" s="84" t="inlineStr">
        <is>
          <t>礼盒</t>
        </is>
      </c>
      <c r="R98" s="83" t="inlineStr">
        <is>
          <t>航海王卡牌对战简体中文版官方套装。官方商品 ID：113，价格待核。</t>
        </is>
      </c>
      <c r="S98" s="83" t="n"/>
      <c r="T98" s="83" t="inlineStr">
        <is>
          <t>onepiece-gift-113</t>
        </is>
      </c>
      <c r="U98" s="84" t="n"/>
      <c r="V98" s="83" t="n"/>
    </row>
    <row r="99" ht="18" customHeight="1" s="59">
      <c r="A99" s="77" t="inlineStr">
        <is>
          <t>航海王卡牌对战 ONE PIECE Heroines Special Set（简中）</t>
        </is>
      </c>
      <c r="B99" s="77" t="inlineStr">
        <is>
          <t>航海王礼盒</t>
        </is>
      </c>
      <c r="C99" s="78" t="inlineStr">
        <is>
          <t>礼盒</t>
        </is>
      </c>
      <c r="D99" s="79" t="inlineStr">
        <is>
          <t>原盒</t>
        </is>
      </c>
      <c r="E99" s="78" t="inlineStr">
        <is>
          <t>未上架</t>
        </is>
      </c>
      <c r="F99" s="78" t="n">
        <v>0</v>
      </c>
      <c r="G99" s="78" t="n">
        <v>0</v>
      </c>
      <c r="H99" s="78" t="n"/>
      <c r="I99" s="78" t="inlineStr">
        <is>
          <t>简中</t>
        </is>
      </c>
      <c r="J99" s="78" t="inlineStr">
        <is>
          <t>上架</t>
        </is>
      </c>
      <c r="K99" s="78" t="inlineStr">
        <is>
          <t>否</t>
        </is>
      </c>
      <c r="L99" s="78" t="inlineStr">
        <is>
          <t>否</t>
        </is>
      </c>
      <c r="M99" s="77" t="inlineStr">
        <is>
          <t>2025-11-06 00:00:00</t>
        </is>
      </c>
      <c r="N99" s="78" t="n">
        <v>6</v>
      </c>
      <c r="O99" s="77" t="inlineStr">
        <is>
          <t>/products/onepiece-official/gift-106.png</t>
        </is>
      </c>
      <c r="P99" s="78" t="n"/>
      <c r="Q99" s="78" t="inlineStr">
        <is>
          <t>礼盒</t>
        </is>
      </c>
      <c r="R99" s="77" t="inlineStr">
        <is>
          <t>航海王卡牌对战简体中文版官方套装。官方商品 ID：106，价格待核。</t>
        </is>
      </c>
      <c r="S99" s="77" t="n"/>
      <c r="T99" s="77" t="inlineStr">
        <is>
          <t>onepiece-gift-106</t>
        </is>
      </c>
      <c r="U99" s="78" t="n"/>
      <c r="V99" s="77" t="n"/>
    </row>
    <row r="100" ht="18" customHeight="1" s="59">
      <c r="A100" s="83" t="inlineStr">
        <is>
          <t>豪华卡牌收藏 精选套装 Vol.5（简中）</t>
        </is>
      </c>
      <c r="B100" s="83" t="inlineStr">
        <is>
          <t>航海王礼盒</t>
        </is>
      </c>
      <c r="C100" s="84" t="inlineStr">
        <is>
          <t>礼盒</t>
        </is>
      </c>
      <c r="D100" s="79" t="inlineStr">
        <is>
          <t>原盒</t>
        </is>
      </c>
      <c r="E100" s="84" t="inlineStr">
        <is>
          <t>未上架</t>
        </is>
      </c>
      <c r="F100" s="84" t="n">
        <v>0</v>
      </c>
      <c r="G100" s="84" t="n">
        <v>0</v>
      </c>
      <c r="H100" s="84" t="n"/>
      <c r="I100" s="84" t="inlineStr">
        <is>
          <t>简中</t>
        </is>
      </c>
      <c r="J100" s="84" t="inlineStr">
        <is>
          <t>上架</t>
        </is>
      </c>
      <c r="K100" s="84" t="inlineStr">
        <is>
          <t>否</t>
        </is>
      </c>
      <c r="L100" s="84" t="inlineStr">
        <is>
          <t>否</t>
        </is>
      </c>
      <c r="M100" s="83" t="inlineStr">
        <is>
          <t>2025-10-05 00:00:00</t>
        </is>
      </c>
      <c r="N100" s="84" t="n">
        <v>6</v>
      </c>
      <c r="O100" s="83" t="inlineStr">
        <is>
          <t>/products/onepiece-official/gift-103.png</t>
        </is>
      </c>
      <c r="P100" s="84" t="n"/>
      <c r="Q100" s="84" t="inlineStr">
        <is>
          <t>礼盒</t>
        </is>
      </c>
      <c r="R100" s="83" t="inlineStr">
        <is>
          <t>航海王卡牌对战简体中文版官方套装。官方商品 ID：103，价格待核。</t>
        </is>
      </c>
      <c r="S100" s="83" t="n"/>
      <c r="T100" s="83" t="inlineStr">
        <is>
          <t>onepiece-gift-103</t>
        </is>
      </c>
      <c r="U100" s="84" t="n"/>
      <c r="V100" s="83" t="n"/>
    </row>
    <row r="101" ht="18" customHeight="1" s="59">
      <c r="A101" s="77" t="inlineStr">
        <is>
          <t>航海王卡牌对战 三周年纪念套装（简中）</t>
        </is>
      </c>
      <c r="B101" s="77" t="inlineStr">
        <is>
          <t>航海王礼盒</t>
        </is>
      </c>
      <c r="C101" s="78" t="inlineStr">
        <is>
          <t>礼盒</t>
        </is>
      </c>
      <c r="D101" s="79" t="inlineStr">
        <is>
          <t>原盒</t>
        </is>
      </c>
      <c r="E101" s="78" t="inlineStr">
        <is>
          <t>未上架</t>
        </is>
      </c>
      <c r="F101" s="78" t="n">
        <v>0</v>
      </c>
      <c r="G101" s="78" t="n">
        <v>0</v>
      </c>
      <c r="H101" s="78" t="n"/>
      <c r="I101" s="78" t="inlineStr">
        <is>
          <t>简中</t>
        </is>
      </c>
      <c r="J101" s="78" t="inlineStr">
        <is>
          <t>上架</t>
        </is>
      </c>
      <c r="K101" s="78" t="inlineStr">
        <is>
          <t>否</t>
        </is>
      </c>
      <c r="L101" s="78" t="inlineStr">
        <is>
          <t>否</t>
        </is>
      </c>
      <c r="M101" s="77" t="inlineStr">
        <is>
          <t>2025-12-26 16:00:00</t>
        </is>
      </c>
      <c r="N101" s="78" t="n">
        <v>6</v>
      </c>
      <c r="O101" s="77" t="inlineStr">
        <is>
          <t>/products/onepiece-official/gift-94.png</t>
        </is>
      </c>
      <c r="P101" s="78" t="n"/>
      <c r="Q101" s="78" t="inlineStr">
        <is>
          <t>礼盒</t>
        </is>
      </c>
      <c r="R101" s="77" t="inlineStr">
        <is>
          <t>航海王卡牌对战简体中文版官方套装。官方商品 ID：94，价格待核。</t>
        </is>
      </c>
      <c r="S101" s="77" t="n"/>
      <c r="T101" s="77" t="inlineStr">
        <is>
          <t>onepiece-gift-94</t>
        </is>
      </c>
      <c r="U101" s="78" t="n"/>
      <c r="V101" s="77" t="n"/>
    </row>
    <row r="102" ht="18" customHeight="1" s="59">
      <c r="A102" s="83" t="inlineStr">
        <is>
          <t>豪华卡牌收藏 精选套装 Vol.4（简中）</t>
        </is>
      </c>
      <c r="B102" s="83" t="inlineStr">
        <is>
          <t>航海王礼盒</t>
        </is>
      </c>
      <c r="C102" s="84" t="inlineStr">
        <is>
          <t>礼盒</t>
        </is>
      </c>
      <c r="D102" s="79" t="inlineStr">
        <is>
          <t>原盒</t>
        </is>
      </c>
      <c r="E102" s="84" t="inlineStr">
        <is>
          <t>未上架</t>
        </is>
      </c>
      <c r="F102" s="84" t="n">
        <v>0</v>
      </c>
      <c r="G102" s="84" t="n">
        <v>0</v>
      </c>
      <c r="H102" s="84" t="n"/>
      <c r="I102" s="84" t="inlineStr">
        <is>
          <t>简中</t>
        </is>
      </c>
      <c r="J102" s="84" t="inlineStr">
        <is>
          <t>上架</t>
        </is>
      </c>
      <c r="K102" s="84" t="inlineStr">
        <is>
          <t>否</t>
        </is>
      </c>
      <c r="L102" s="84" t="inlineStr">
        <is>
          <t>否</t>
        </is>
      </c>
      <c r="M102" s="83" t="inlineStr">
        <is>
          <t>2025-05-20 16:00:00</t>
        </is>
      </c>
      <c r="N102" s="84" t="n">
        <v>6</v>
      </c>
      <c r="O102" s="83" t="inlineStr">
        <is>
          <t>/products/onepiece-official/gift-90.png</t>
        </is>
      </c>
      <c r="P102" s="84" t="n"/>
      <c r="Q102" s="84" t="inlineStr">
        <is>
          <t>礼盒</t>
        </is>
      </c>
      <c r="R102" s="83" t="inlineStr">
        <is>
          <t>航海王卡牌对战简体中文版官方套装。官方商品 ID：90，价格待核。</t>
        </is>
      </c>
      <c r="S102" s="83" t="n"/>
      <c r="T102" s="83" t="inlineStr">
        <is>
          <t>onepiece-gift-90</t>
        </is>
      </c>
      <c r="U102" s="84" t="n"/>
      <c r="V102" s="83" t="n"/>
    </row>
    <row r="103" ht="18" customHeight="1" s="59">
      <c r="A103" s="77" t="inlineStr">
        <is>
          <t>航海王卡牌对战 迷你收藏套装（简中）</t>
        </is>
      </c>
      <c r="B103" s="77" t="inlineStr">
        <is>
          <t>航海王礼盒</t>
        </is>
      </c>
      <c r="C103" s="78" t="inlineStr">
        <is>
          <t>礼盒</t>
        </is>
      </c>
      <c r="D103" s="79" t="inlineStr">
        <is>
          <t>原盒</t>
        </is>
      </c>
      <c r="E103" s="78" t="inlineStr">
        <is>
          <t>未上架</t>
        </is>
      </c>
      <c r="F103" s="78" t="n">
        <v>0</v>
      </c>
      <c r="G103" s="78" t="n">
        <v>0</v>
      </c>
      <c r="H103" s="78" t="n"/>
      <c r="I103" s="78" t="inlineStr">
        <is>
          <t>简中</t>
        </is>
      </c>
      <c r="J103" s="78" t="inlineStr">
        <is>
          <t>上架</t>
        </is>
      </c>
      <c r="K103" s="78" t="inlineStr">
        <is>
          <t>否</t>
        </is>
      </c>
      <c r="L103" s="78" t="inlineStr">
        <is>
          <t>否</t>
        </is>
      </c>
      <c r="M103" s="77" t="inlineStr">
        <is>
          <t>2025-03-27 08:00:00</t>
        </is>
      </c>
      <c r="N103" s="78" t="n">
        <v>6</v>
      </c>
      <c r="O103" s="77" t="inlineStr">
        <is>
          <t>/products/onepiece-official/gift-85.png</t>
        </is>
      </c>
      <c r="P103" s="78" t="n"/>
      <c r="Q103" s="78" t="inlineStr">
        <is>
          <t>礼盒</t>
        </is>
      </c>
      <c r="R103" s="77" t="inlineStr">
        <is>
          <t>航海王卡牌对战简体中文版官方套装。官方商品 ID：85，价格待核。</t>
        </is>
      </c>
      <c r="S103" s="77" t="n"/>
      <c r="T103" s="77" t="inlineStr">
        <is>
          <t>onepiece-gift-85</t>
        </is>
      </c>
      <c r="U103" s="78" t="n"/>
      <c r="V103" s="77" t="n"/>
    </row>
    <row r="104" ht="18" customHeight="1" s="59">
      <c r="A104" s="83" t="inlineStr">
        <is>
          <t>豪华卡牌收藏 日版两周年特别纪念（简体中文版）（简中）</t>
        </is>
      </c>
      <c r="B104" s="83" t="inlineStr">
        <is>
          <t>航海王礼盒</t>
        </is>
      </c>
      <c r="C104" s="84" t="inlineStr">
        <is>
          <t>礼盒</t>
        </is>
      </c>
      <c r="D104" s="79" t="inlineStr">
        <is>
          <t>原盒</t>
        </is>
      </c>
      <c r="E104" s="84" t="inlineStr">
        <is>
          <t>未上架</t>
        </is>
      </c>
      <c r="F104" s="84" t="n">
        <v>0</v>
      </c>
      <c r="G104" s="84" t="n">
        <v>0</v>
      </c>
      <c r="H104" s="84" t="n"/>
      <c r="I104" s="84" t="inlineStr">
        <is>
          <t>简中</t>
        </is>
      </c>
      <c r="J104" s="84" t="inlineStr">
        <is>
          <t>上架</t>
        </is>
      </c>
      <c r="K104" s="84" t="inlineStr">
        <is>
          <t>否</t>
        </is>
      </c>
      <c r="L104" s="84" t="inlineStr">
        <is>
          <t>否</t>
        </is>
      </c>
      <c r="M104" s="83" t="inlineStr">
        <is>
          <t>2025-03-23 00:00:00</t>
        </is>
      </c>
      <c r="N104" s="84" t="n">
        <v>6</v>
      </c>
      <c r="O104" s="83" t="inlineStr">
        <is>
          <t>/products/onepiece-official/gift-84.png</t>
        </is>
      </c>
      <c r="P104" s="84" t="n"/>
      <c r="Q104" s="84" t="inlineStr">
        <is>
          <t>礼盒</t>
        </is>
      </c>
      <c r="R104" s="83" t="inlineStr">
        <is>
          <t>航海王卡牌对战简体中文版官方套装。官方商品 ID：84，价格待核。</t>
        </is>
      </c>
      <c r="S104" s="83" t="n"/>
      <c r="T104" s="83" t="inlineStr">
        <is>
          <t>onepiece-gift-84</t>
        </is>
      </c>
      <c r="U104" s="84" t="n"/>
      <c r="V104" s="83" t="n"/>
    </row>
    <row r="105" ht="18" customHeight="1" s="59">
      <c r="A105" s="77" t="inlineStr">
        <is>
          <t>豪华卡牌收藏 精选套装 Vol.3（简中）</t>
        </is>
      </c>
      <c r="B105" s="77" t="inlineStr">
        <is>
          <t>航海王礼盒</t>
        </is>
      </c>
      <c r="C105" s="78" t="inlineStr">
        <is>
          <t>礼盒</t>
        </is>
      </c>
      <c r="D105" s="79" t="inlineStr">
        <is>
          <t>原盒</t>
        </is>
      </c>
      <c r="E105" s="78" t="inlineStr">
        <is>
          <t>未上架</t>
        </is>
      </c>
      <c r="F105" s="78" t="n">
        <v>0</v>
      </c>
      <c r="G105" s="78" t="n">
        <v>0</v>
      </c>
      <c r="H105" s="78" t="n"/>
      <c r="I105" s="78" t="inlineStr">
        <is>
          <t>简中</t>
        </is>
      </c>
      <c r="J105" s="78" t="inlineStr">
        <is>
          <t>上架</t>
        </is>
      </c>
      <c r="K105" s="78" t="inlineStr">
        <is>
          <t>否</t>
        </is>
      </c>
      <c r="L105" s="78" t="inlineStr">
        <is>
          <t>否</t>
        </is>
      </c>
      <c r="M105" s="77" t="inlineStr">
        <is>
          <t>2024-11-01 16:00:02</t>
        </is>
      </c>
      <c r="N105" s="78" t="n">
        <v>6</v>
      </c>
      <c r="O105" s="77" t="inlineStr">
        <is>
          <t>/products/onepiece-official/gift-67.png</t>
        </is>
      </c>
      <c r="P105" s="78" t="n"/>
      <c r="Q105" s="78" t="inlineStr">
        <is>
          <t>礼盒</t>
        </is>
      </c>
      <c r="R105" s="77" t="inlineStr">
        <is>
          <t>航海王卡牌对战简体中文版官方套装。官方商品 ID：67，价格待核。</t>
        </is>
      </c>
      <c r="S105" s="77" t="n"/>
      <c r="T105" s="77" t="inlineStr">
        <is>
          <t>onepiece-gift-67</t>
        </is>
      </c>
      <c r="U105" s="78" t="n"/>
      <c r="V105" s="77" t="n"/>
    </row>
    <row r="106" ht="18" customHeight="1" s="59">
      <c r="A106" s="83" t="inlineStr">
        <is>
          <t>豪华卡牌收藏 精选套装 Vol.2（简中）</t>
        </is>
      </c>
      <c r="B106" s="83" t="inlineStr">
        <is>
          <t>航海王礼盒</t>
        </is>
      </c>
      <c r="C106" s="84" t="inlineStr">
        <is>
          <t>礼盒</t>
        </is>
      </c>
      <c r="D106" s="79" t="inlineStr">
        <is>
          <t>原盒</t>
        </is>
      </c>
      <c r="E106" s="84" t="inlineStr">
        <is>
          <t>未上架</t>
        </is>
      </c>
      <c r="F106" s="84" t="n">
        <v>0</v>
      </c>
      <c r="G106" s="84" t="n">
        <v>0</v>
      </c>
      <c r="H106" s="84" t="n"/>
      <c r="I106" s="84" t="inlineStr">
        <is>
          <t>简中</t>
        </is>
      </c>
      <c r="J106" s="84" t="inlineStr">
        <is>
          <t>上架</t>
        </is>
      </c>
      <c r="K106" s="84" t="inlineStr">
        <is>
          <t>否</t>
        </is>
      </c>
      <c r="L106" s="84" t="inlineStr">
        <is>
          <t>否</t>
        </is>
      </c>
      <c r="M106" s="83" t="inlineStr">
        <is>
          <t>2024-07-25 08:00:01</t>
        </is>
      </c>
      <c r="N106" s="84" t="n">
        <v>6</v>
      </c>
      <c r="O106" s="83" t="inlineStr">
        <is>
          <t>/products/onepiece-official/gift-62.png</t>
        </is>
      </c>
      <c r="P106" s="84" t="n"/>
      <c r="Q106" s="84" t="inlineStr">
        <is>
          <t>礼盒</t>
        </is>
      </c>
      <c r="R106" s="83" t="inlineStr">
        <is>
          <t>航海王卡牌对战简体中文版官方套装。官方商品 ID：62，价格待核。</t>
        </is>
      </c>
      <c r="S106" s="83" t="n"/>
      <c r="T106" s="83" t="inlineStr">
        <is>
          <t>onepiece-gift-62</t>
        </is>
      </c>
      <c r="U106" s="84" t="n"/>
      <c r="V106" s="83" t="n"/>
    </row>
    <row r="107" ht="18" customHeight="1" s="59">
      <c r="A107" s="77" t="inlineStr">
        <is>
          <t>豪华卡牌收藏 精选套装 Vol.1（简中）</t>
        </is>
      </c>
      <c r="B107" s="77" t="inlineStr">
        <is>
          <t>航海王礼盒</t>
        </is>
      </c>
      <c r="C107" s="78" t="inlineStr">
        <is>
          <t>礼盒</t>
        </is>
      </c>
      <c r="D107" s="79" t="inlineStr">
        <is>
          <t>原盒</t>
        </is>
      </c>
      <c r="E107" s="78" t="inlineStr">
        <is>
          <t>未上架</t>
        </is>
      </c>
      <c r="F107" s="78" t="n">
        <v>0</v>
      </c>
      <c r="G107" s="78" t="n">
        <v>0</v>
      </c>
      <c r="H107" s="78" t="n"/>
      <c r="I107" s="78" t="inlineStr">
        <is>
          <t>简中</t>
        </is>
      </c>
      <c r="J107" s="78" t="inlineStr">
        <is>
          <t>上架</t>
        </is>
      </c>
      <c r="K107" s="78" t="inlineStr">
        <is>
          <t>否</t>
        </is>
      </c>
      <c r="L107" s="78" t="inlineStr">
        <is>
          <t>否</t>
        </is>
      </c>
      <c r="M107" s="77" t="inlineStr">
        <is>
          <t>2024-03-02 16:00:00</t>
        </is>
      </c>
      <c r="N107" s="78" t="n">
        <v>6</v>
      </c>
      <c r="O107" s="77" t="inlineStr">
        <is>
          <t>/products/onepiece-official/gift-49.png</t>
        </is>
      </c>
      <c r="P107" s="78" t="n"/>
      <c r="Q107" s="78" t="inlineStr">
        <is>
          <t>礼盒</t>
        </is>
      </c>
      <c r="R107" s="77" t="inlineStr">
        <is>
          <t>航海王卡牌对战简体中文版官方套装。官方商品 ID：49，价格待核。</t>
        </is>
      </c>
      <c r="S107" s="77" t="n"/>
      <c r="T107" s="77" t="inlineStr">
        <is>
          <t>onepiece-gift-49</t>
        </is>
      </c>
      <c r="U107" s="78" t="n"/>
      <c r="V107" s="77" t="n"/>
    </row>
    <row r="108" ht="18" customHeight="1" s="59">
      <c r="A108" s="83" t="inlineStr">
        <is>
          <t>航海王卡牌对战简体中文版 一周年纪念套装（简中）</t>
        </is>
      </c>
      <c r="B108" s="83" t="inlineStr">
        <is>
          <t>航海王礼盒</t>
        </is>
      </c>
      <c r="C108" s="84" t="inlineStr">
        <is>
          <t>礼盒</t>
        </is>
      </c>
      <c r="D108" s="79" t="inlineStr">
        <is>
          <t>原盒</t>
        </is>
      </c>
      <c r="E108" s="84" t="inlineStr">
        <is>
          <t>未上架</t>
        </is>
      </c>
      <c r="F108" s="84" t="n">
        <v>0</v>
      </c>
      <c r="G108" s="84" t="n">
        <v>0</v>
      </c>
      <c r="H108" s="84" t="n"/>
      <c r="I108" s="84" t="inlineStr">
        <is>
          <t>简中</t>
        </is>
      </c>
      <c r="J108" s="84" t="inlineStr">
        <is>
          <t>上架</t>
        </is>
      </c>
      <c r="K108" s="84" t="inlineStr">
        <is>
          <t>否</t>
        </is>
      </c>
      <c r="L108" s="84" t="inlineStr">
        <is>
          <t>否</t>
        </is>
      </c>
      <c r="M108" s="83" t="inlineStr">
        <is>
          <t>2024-04-01 00:00:00</t>
        </is>
      </c>
      <c r="N108" s="84" t="n">
        <v>6</v>
      </c>
      <c r="O108" s="83" t="inlineStr">
        <is>
          <t>/products/onepiece-official/gift-40.jpg</t>
        </is>
      </c>
      <c r="P108" s="84" t="n"/>
      <c r="Q108" s="84" t="inlineStr">
        <is>
          <t>礼盒</t>
        </is>
      </c>
      <c r="R108" s="83" t="inlineStr">
        <is>
          <t>航海王卡牌对战简体中文版官方套装。官方商品 ID：40，价格待核。</t>
        </is>
      </c>
      <c r="S108" s="83" t="n"/>
      <c r="T108" s="83" t="inlineStr">
        <is>
          <t>onepiece-gift-40</t>
        </is>
      </c>
      <c r="U108" s="84" t="n"/>
      <c r="V108" s="83" t="n"/>
    </row>
    <row r="109" ht="18" customHeight="1" s="59">
      <c r="A109" s="77" t="inlineStr">
        <is>
          <t>航海王卡牌对战 官方卡套&amp;官方卡盒 -红发歌姬-（简中）</t>
        </is>
      </c>
      <c r="B109" s="77" t="inlineStr">
        <is>
          <t>航海王礼盒</t>
        </is>
      </c>
      <c r="C109" s="78" t="inlineStr">
        <is>
          <t>礼盒</t>
        </is>
      </c>
      <c r="D109" s="79" t="inlineStr">
        <is>
          <t>原盒</t>
        </is>
      </c>
      <c r="E109" s="78" t="inlineStr">
        <is>
          <t>未上架</t>
        </is>
      </c>
      <c r="F109" s="78" t="n">
        <v>0</v>
      </c>
      <c r="G109" s="78" t="n">
        <v>0</v>
      </c>
      <c r="H109" s="78" t="n"/>
      <c r="I109" s="78" t="inlineStr">
        <is>
          <t>简中</t>
        </is>
      </c>
      <c r="J109" s="78" t="inlineStr">
        <is>
          <t>上架</t>
        </is>
      </c>
      <c r="K109" s="78" t="inlineStr">
        <is>
          <t>否</t>
        </is>
      </c>
      <c r="L109" s="78" t="inlineStr">
        <is>
          <t>否</t>
        </is>
      </c>
      <c r="M109" s="77" t="inlineStr">
        <is>
          <t>2023-10-13 00:00:00</t>
        </is>
      </c>
      <c r="N109" s="78" t="n">
        <v>6</v>
      </c>
      <c r="O109" s="77" t="inlineStr">
        <is>
          <t>/products/onepiece-official/gift-38.png</t>
        </is>
      </c>
      <c r="P109" s="78" t="n"/>
      <c r="Q109" s="78" t="inlineStr">
        <is>
          <t>礼盒</t>
        </is>
      </c>
      <c r="R109" s="77" t="inlineStr">
        <is>
          <t>航海王卡牌对战简体中文版官方套装。官方商品 ID：38，价格待核。</t>
        </is>
      </c>
      <c r="S109" s="77" t="n"/>
      <c r="T109" s="77" t="inlineStr">
        <is>
          <t>onepiece-gift-38</t>
        </is>
      </c>
      <c r="U109" s="78" t="n"/>
      <c r="V109" s="77" t="n"/>
    </row>
    <row r="110" ht="18" customHeight="1" s="59">
      <c r="A110" s="83" t="inlineStr">
        <is>
          <t>航海王卡牌对战 对战桌垫+卡牌盒套装 -25周年版- （简中）</t>
        </is>
      </c>
      <c r="B110" s="83" t="inlineStr">
        <is>
          <t>航海王礼盒</t>
        </is>
      </c>
      <c r="C110" s="84" t="inlineStr">
        <is>
          <t>礼盒</t>
        </is>
      </c>
      <c r="D110" s="79" t="inlineStr">
        <is>
          <t>原盒</t>
        </is>
      </c>
      <c r="E110" s="84" t="inlineStr">
        <is>
          <t>未上架</t>
        </is>
      </c>
      <c r="F110" s="84" t="n">
        <v>0</v>
      </c>
      <c r="G110" s="84" t="n">
        <v>0</v>
      </c>
      <c r="H110" s="84" t="n"/>
      <c r="I110" s="84" t="inlineStr">
        <is>
          <t>简中</t>
        </is>
      </c>
      <c r="J110" s="84" t="inlineStr">
        <is>
          <t>上架</t>
        </is>
      </c>
      <c r="K110" s="84" t="inlineStr">
        <is>
          <t>否</t>
        </is>
      </c>
      <c r="L110" s="84" t="inlineStr">
        <is>
          <t>否</t>
        </is>
      </c>
      <c r="M110" s="83" t="inlineStr">
        <is>
          <t>2023-04-28 00:00:00</t>
        </is>
      </c>
      <c r="N110" s="84" t="n">
        <v>6</v>
      </c>
      <c r="O110" s="83" t="inlineStr">
        <is>
          <t>/products/onepiece-official/gift-26.jpg</t>
        </is>
      </c>
      <c r="P110" s="84" t="n"/>
      <c r="Q110" s="84" t="inlineStr">
        <is>
          <t>礼盒</t>
        </is>
      </c>
      <c r="R110" s="83" t="inlineStr">
        <is>
          <t>航海王卡牌对战简体中文版官方套装。官方商品 ID：26，价格待核。</t>
        </is>
      </c>
      <c r="S110" s="83" t="n"/>
      <c r="T110" s="83" t="inlineStr">
        <is>
          <t>onepiece-gift-26</t>
        </is>
      </c>
      <c r="U110" s="84" t="n"/>
      <c r="V110" s="83" t="n"/>
    </row>
  </sheetData>
  <dataValidations count="1">
    <dataValidation sqref="D5:D194" showDropDown="0" showInputMessage="0" showErrorMessage="1" allowBlank="1" errorTitle="规格" error="请选择：原盒 / 散包 / 原箱" type="list">
      <formula1>"原盒,散包,原箱"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0" summaryRight="0"/>
    <pageSetUpPr/>
  </sheetPr>
  <dimension ref="A1:BW12"/>
  <sheetViews>
    <sheetView showGridLines="0" showOutlineSymbols="1" zoomScale="10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D4" sqref="AD4"/>
    </sheetView>
  </sheetViews>
  <sheetFormatPr baseColWidth="8" defaultRowHeight="14" outlineLevelRow="0"/>
  <cols>
    <col width="40" customWidth="1" style="59" min="1" max="1"/>
    <col width="16" customWidth="1" style="59" min="2" max="2"/>
    <col width="12" customWidth="1" style="59" min="3" max="3"/>
    <col width="8" customWidth="1" style="59" min="4" max="4"/>
    <col width="9" customWidth="1" style="59" min="5" max="5"/>
    <col width="8" customWidth="1" style="59" min="6" max="6"/>
    <col width="12" customWidth="1" style="59" min="7" max="7"/>
    <col width="11" customWidth="1" style="59" min="8" max="11"/>
    <col width="8" customWidth="1" style="59" min="9" max="9"/>
    <col width="8" customWidth="1" style="59" min="10" max="10"/>
    <col width="8" customWidth="1" style="59" min="11" max="11"/>
    <col width="8" customWidth="1" style="59" min="12" max="12"/>
    <col width="8" customWidth="1" style="59" min="13" max="20"/>
    <col width="20" customWidth="1" style="59" min="14" max="14"/>
    <col width="14" customWidth="1" style="59" min="21" max="22"/>
    <col width="13" customWidth="1" style="59" min="23" max="30"/>
    <col width="14" customWidth="1" style="59" min="31" max="31"/>
    <col width="13" customWidth="1" style="59" min="32" max="39"/>
    <col width="14" customWidth="1" style="59" min="40" max="40"/>
    <col width="13" customWidth="1" style="59" min="41" max="43"/>
    <col width="28" customWidth="1" style="59" min="44" max="44"/>
    <col width="22" customWidth="1" style="59" min="45" max="45"/>
    <col width="26" customWidth="1" style="59" min="46" max="46"/>
    <col width="11" customWidth="1" style="59" min="47" max="47"/>
    <col width="36" customWidth="1" style="59" min="48" max="48"/>
    <col width="13" customWidth="1" style="59" min="49" max="59"/>
  </cols>
  <sheetData>
    <row r="1" ht="24" customHeight="1" s="59">
      <c r="A1" s="88" t="inlineStr">
        <is>
          <t>火影 · PIMART</t>
        </is>
      </c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0" t="n"/>
      <c r="AN1" s="30" t="n"/>
      <c r="AO1" s="30" t="n"/>
      <c r="AP1" s="30" t="n"/>
      <c r="AQ1" s="30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1" t="n"/>
      <c r="BL1" s="31" t="n"/>
      <c r="BM1" s="31" t="n"/>
      <c r="BN1" s="31" t="n"/>
      <c r="BO1" s="31" t="n"/>
      <c r="BP1" s="31" t="n"/>
      <c r="BQ1" s="31" t="n"/>
      <c r="BR1" s="31" t="n"/>
      <c r="BS1" s="31" t="n"/>
      <c r="BT1" s="31" t="n"/>
      <c r="BU1" s="31" t="n"/>
      <c r="BV1" s="31" t="n"/>
      <c r="BW1" s="31" t="n"/>
    </row>
    <row r="2" ht="30" customHeight="1" s="59">
      <c r="A2" s="89" t="inlineStr">
        <is>
          <t>【大纲 1 / 2】点「1」只显示原盒主行（日常改库存/售价）。点「2」或行号旁「+」展开散包/原箱（有规格的新品写到这一层）。新品：先写规格=原盒，再在下方挂散包、原箱两行。</t>
        </is>
      </c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  <c r="BI2" s="31" t="n"/>
      <c r="BJ2" s="31" t="n"/>
      <c r="BK2" s="31" t="n"/>
      <c r="BL2" s="31" t="n"/>
      <c r="BM2" s="31" t="n"/>
      <c r="BN2" s="31" t="n"/>
      <c r="BO2" s="31" t="n"/>
      <c r="BP2" s="31" t="n"/>
      <c r="BQ2" s="31" t="n"/>
      <c r="BR2" s="31" t="n"/>
      <c r="BS2" s="31" t="n"/>
      <c r="BT2" s="31" t="n"/>
      <c r="BU2" s="31" t="n"/>
      <c r="BV2" s="31" t="n"/>
      <c r="BW2" s="31" t="n"/>
    </row>
    <row r="3" ht="40" customHeight="1" s="59">
      <c r="A3" s="90" t="n"/>
      <c r="B3" s="30" t="n"/>
      <c r="C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2" t="inlineStr">
        <is>
          <t>← 规格列：橙=原箱 | 蓝=原盒 | 绿=散包 | 紫=商品类型（日常改库存/销售价即可）</t>
        </is>
      </c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69" t="n"/>
      <c r="AS3" s="69" t="n"/>
      <c r="AT3" s="69" t="n"/>
      <c r="AU3" s="69" t="n"/>
      <c r="AV3" s="69" t="n"/>
      <c r="AW3" s="31" t="n"/>
      <c r="AX3" s="31" t="n"/>
      <c r="AY3" s="31" t="n"/>
      <c r="AZ3" s="31" t="n"/>
      <c r="BA3" s="31" t="n"/>
      <c r="BB3" s="31" t="n"/>
      <c r="BC3" s="31" t="n"/>
      <c r="BD3" s="31" t="n"/>
      <c r="BE3" s="31" t="n"/>
      <c r="BF3" s="31" t="n"/>
      <c r="BG3" s="31" t="n"/>
      <c r="BH3" s="31" t="n"/>
      <c r="BI3" s="31" t="n"/>
      <c r="BJ3" s="31" t="n"/>
      <c r="BK3" s="31" t="n"/>
      <c r="BL3" s="31" t="n"/>
      <c r="BM3" s="31" t="n"/>
      <c r="BN3" s="31" t="n"/>
      <c r="BO3" s="31" t="n"/>
      <c r="BP3" s="31" t="n"/>
      <c r="BQ3" s="31" t="n"/>
      <c r="BR3" s="31" t="n"/>
      <c r="BS3" s="31" t="n"/>
      <c r="BT3" s="31" t="n"/>
      <c r="BU3" s="31" t="n"/>
      <c r="BV3" s="31" t="n"/>
      <c r="BW3" s="31" t="n"/>
    </row>
    <row r="4" ht="26" customHeight="1" s="59">
      <c r="A4" s="74" t="inlineStr">
        <is>
          <t>商品名</t>
        </is>
      </c>
      <c r="B4" s="74" t="inlineStr">
        <is>
          <t>系列</t>
        </is>
      </c>
      <c r="C4" s="74" t="inlineStr">
        <is>
          <t>盒型/类型</t>
        </is>
      </c>
      <c r="D4" s="74" t="inlineStr">
        <is>
          <t>规格</t>
        </is>
      </c>
      <c r="E4" s="74" t="inlineStr">
        <is>
          <t>销售状态</t>
        </is>
      </c>
      <c r="F4" s="74" t="inlineStr">
        <is>
          <t>库存</t>
        </is>
      </c>
      <c r="G4" s="74" t="inlineStr">
        <is>
          <t>销售价(JPY)</t>
        </is>
      </c>
      <c r="H4" s="74" t="inlineStr">
        <is>
          <t>成本价(CNY)</t>
        </is>
      </c>
      <c r="I4" s="74" t="inlineStr">
        <is>
          <t>语言</t>
        </is>
      </c>
      <c r="J4" s="74" t="inlineStr">
        <is>
          <t>网站状态</t>
        </is>
      </c>
      <c r="K4" s="74" t="inlineStr">
        <is>
          <t>是否预售</t>
        </is>
      </c>
      <c r="L4" s="74" t="inlineStr">
        <is>
          <t>首页推荐</t>
        </is>
      </c>
      <c r="M4" s="74" t="inlineStr">
        <is>
          <t>发售日</t>
        </is>
      </c>
      <c r="N4" s="74" t="inlineStr">
        <is>
          <t>发货天数</t>
        </is>
      </c>
      <c r="O4" s="74" t="inlineStr">
        <is>
          <t>图片</t>
        </is>
      </c>
      <c r="P4" s="74" t="inlineStr">
        <is>
          <t>优先级</t>
        </is>
      </c>
      <c r="Q4" s="74" t="inlineStr">
        <is>
          <t>原箱库存</t>
        </is>
      </c>
      <c r="R4" s="74" t="inlineStr">
        <is>
          <t>原箱销售价(JPY)</t>
        </is>
      </c>
      <c r="S4" s="74" t="inlineStr">
        <is>
          <t>原箱建议售价(JPY)</t>
        </is>
      </c>
      <c r="T4" s="74" t="inlineStr">
        <is>
          <t>原箱毛利(JPY)</t>
        </is>
      </c>
      <c r="U4" s="74" t="inlineStr">
        <is>
          <t>原箱毛利率</t>
        </is>
      </c>
      <c r="V4" s="74" t="inlineStr">
        <is>
          <t>原箱库存金额(JPY)</t>
        </is>
      </c>
      <c r="W4" s="74" t="inlineStr">
        <is>
          <t>原箱价格状态</t>
        </is>
      </c>
      <c r="X4" s="74" t="inlineStr">
        <is>
          <t>原箱库存状态</t>
        </is>
      </c>
      <c r="Y4" s="74" t="inlineStr">
        <is>
          <t>原箱调价建议</t>
        </is>
      </c>
      <c r="Z4" s="74" t="inlineStr">
        <is>
          <t>原盒库存</t>
        </is>
      </c>
      <c r="AA4" s="74" t="inlineStr">
        <is>
          <t>原盒销售价(JPY)</t>
        </is>
      </c>
      <c r="AB4" s="74" t="inlineStr">
        <is>
          <t>原盒建议售价(JPY)</t>
        </is>
      </c>
      <c r="AC4" s="74" t="inlineStr">
        <is>
          <t>原盒毛利(JPY)</t>
        </is>
      </c>
      <c r="AD4" s="74" t="inlineStr">
        <is>
          <t>原盒毛利率</t>
        </is>
      </c>
      <c r="AE4" s="74" t="inlineStr">
        <is>
          <t>原盒库存金额(JPY)</t>
        </is>
      </c>
      <c r="AF4" s="74" t="inlineStr">
        <is>
          <t>原盒价格状态</t>
        </is>
      </c>
      <c r="AG4" s="74" t="inlineStr">
        <is>
          <t>原盒库存状态</t>
        </is>
      </c>
      <c r="AH4" s="74" t="inlineStr">
        <is>
          <t>原盒调价建议</t>
        </is>
      </c>
      <c r="AI4" s="74" t="inlineStr">
        <is>
          <t>散包库存</t>
        </is>
      </c>
      <c r="AJ4" s="74" t="inlineStr">
        <is>
          <t>散包销售价(JPY)</t>
        </is>
      </c>
      <c r="AK4" s="74" t="inlineStr">
        <is>
          <t>散包建议售价(JPY)</t>
        </is>
      </c>
      <c r="AL4" s="74" t="inlineStr">
        <is>
          <t>散包毛利(JPY)</t>
        </is>
      </c>
      <c r="AM4" s="74" t="inlineStr">
        <is>
          <t>散包毛利率</t>
        </is>
      </c>
      <c r="AN4" s="74" t="inlineStr">
        <is>
          <t>散包库存金额(JPY)</t>
        </is>
      </c>
      <c r="AO4" s="74" t="inlineStr">
        <is>
          <t>散包价格状态</t>
        </is>
      </c>
      <c r="AP4" s="74" t="inlineStr">
        <is>
          <t>散包库存状态</t>
        </is>
      </c>
      <c r="AQ4" s="74" t="inlineStr">
        <is>
          <t>散包调价建议</t>
        </is>
      </c>
      <c r="AR4" s="74" t="inlineStr">
        <is>
          <t>备注</t>
        </is>
      </c>
      <c r="AS4" s="74" t="inlineStr">
        <is>
          <t>商品ID</t>
        </is>
      </c>
      <c r="AT4" s="74" t="inlineStr">
        <is>
          <t>SKU/Slug</t>
        </is>
      </c>
      <c r="AU4" s="74" t="inlineStr">
        <is>
          <t>游戏</t>
        </is>
      </c>
      <c r="AV4" s="74" t="inlineStr">
        <is>
          <t>商品链接</t>
        </is>
      </c>
      <c r="AW4" s="31" t="n"/>
      <c r="AX4" s="31" t="n"/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31" t="n"/>
      <c r="BJ4" s="31" t="n"/>
      <c r="BK4" s="31" t="n"/>
      <c r="BL4" s="31" t="n"/>
      <c r="BM4" s="31" t="n"/>
      <c r="BN4" s="31" t="n"/>
      <c r="BO4" s="31" t="n"/>
      <c r="BP4" s="31" t="n"/>
      <c r="BQ4" s="31" t="n"/>
      <c r="BR4" s="31" t="n"/>
      <c r="BS4" s="31" t="n"/>
      <c r="BT4" s="31" t="n"/>
      <c r="BU4" s="31" t="n"/>
      <c r="BV4" s="31" t="n"/>
      <c r="BW4" s="31" t="n"/>
    </row>
    <row r="5" ht="20" customHeight="1" s="59">
      <c r="A5" s="75" t="inlineStr">
        <is>
          <t>单条：点「原盒」那一行【左边行号旁】的 + 展开散包/原箱，点 - 收回</t>
        </is>
      </c>
      <c r="B5" s="75" t="n"/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</row>
    <row r="6" ht="20" customHeight="1" s="59">
      <c r="A6" s="75" t="inlineStr">
        <is>
          <t>卡游 / 官方</t>
        </is>
      </c>
      <c r="B6" s="75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  <c r="AL6" s="75" t="n"/>
      <c r="AM6" s="75" t="n"/>
      <c r="AN6" s="75" t="n"/>
      <c r="AO6" s="75" t="n"/>
      <c r="AP6" s="75" t="n"/>
      <c r="AQ6" s="75" t="n"/>
      <c r="AR6" s="75" t="n"/>
      <c r="AS6" s="75" t="n"/>
      <c r="AT6" s="75" t="n"/>
      <c r="AU6" s="75" t="n"/>
      <c r="AV6" s="75" t="n"/>
    </row>
    <row r="7" ht="6" customHeight="1" s="59"/>
    <row r="8" ht="20" customHeight="1" s="59">
      <c r="A8" s="75" t="inlineStr">
        <is>
          <t>系列扩展</t>
        </is>
      </c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</row>
    <row r="9" ht="6" customHeight="1" s="59"/>
    <row r="10" ht="20" customHeight="1" s="59">
      <c r="A10" s="75" t="inlineStr">
        <is>
          <t>礼盒 / 周边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</row>
    <row r="11" ht="6" customHeight="1" s="59"/>
    <row r="12" ht="20" customHeight="1" s="59">
      <c r="A12" s="75" t="inlineStr">
        <is>
          <t>其他</t>
        </is>
      </c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</row>
    <row r="14" ht="16.5" customHeight="1" s="59"/>
  </sheetData>
  <dataValidations count="1">
    <dataValidation sqref="D5:D200" showDropDown="0" showInputMessage="0" showErrorMessage="1" allowBlank="1" errorTitle="规格" error="请选择：原盒 / 散包 / 原箱" type="list">
      <formula1>"原盒,散包,原箱"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8" defaultRowHeight="14"/>
  <cols>
    <col width="12" customWidth="1" style="59" min="1" max="1"/>
    <col width="40" customWidth="1" style="59" min="2" max="2"/>
    <col width="18" customWidth="1" style="59" min="3" max="3"/>
    <col width="14" customWidth="1" style="59" min="4" max="4"/>
    <col width="10" customWidth="1" style="59" min="5" max="5"/>
    <col width="8" customWidth="1" style="59" min="6" max="6"/>
    <col width="12" customWidth="1" style="59" min="7" max="7"/>
    <col width="40" customWidth="1" style="59" min="8" max="8"/>
  </cols>
  <sheetData>
    <row r="1" ht="20" customHeight="1" s="59">
      <c r="A1" s="64" t="inlineStr">
        <is>
          <t>全量库存 · 汇总</t>
        </is>
      </c>
    </row>
    <row r="2" ht="15.5" customHeight="1" s="59">
      <c r="A2" s="63" t="inlineStr">
        <is>
          <t>自动汇总各 IP 分页商品行（不含分组标题）。日常请在宝可梦/海贼王/火影页改库存与售价。</t>
        </is>
      </c>
    </row>
    <row r="4" ht="15.5" customHeight="1" s="59">
      <c r="A4" s="28" t="inlineStr">
        <is>
          <t>来源页</t>
        </is>
      </c>
      <c r="B4" s="28" t="inlineStr">
        <is>
          <t>商品名</t>
        </is>
      </c>
      <c r="C4" s="28" t="inlineStr">
        <is>
          <t>系列</t>
        </is>
      </c>
      <c r="D4" s="28" t="inlineStr">
        <is>
          <t>盒型/类型</t>
        </is>
      </c>
      <c r="E4" s="28" t="inlineStr">
        <is>
          <t>销售状态</t>
        </is>
      </c>
      <c r="F4" s="28" t="inlineStr">
        <is>
          <t>库存</t>
        </is>
      </c>
      <c r="G4" s="28" t="inlineStr">
        <is>
          <t>销售价(JPY)</t>
        </is>
      </c>
      <c r="H4" s="28" t="inlineStr">
        <is>
          <t>备注</t>
        </is>
      </c>
    </row>
    <row r="5" ht="15.5" customHeight="1" s="59">
      <c r="A5" s="29" t="inlineStr">
        <is>
          <t>宝可梦</t>
        </is>
      </c>
      <c r="B5" s="29">
        <f>宝可梦!A5</f>
        <v/>
      </c>
      <c r="C5" s="29">
        <f>宝可梦!B5</f>
        <v/>
      </c>
      <c r="D5" s="29">
        <f>宝可梦!C5</f>
        <v/>
      </c>
      <c r="E5" s="29">
        <f>宝可梦!D5</f>
        <v/>
      </c>
      <c r="F5" s="29">
        <f>宝可梦!E5</f>
        <v/>
      </c>
      <c r="G5" s="29">
        <f>宝可梦!G5</f>
        <v/>
      </c>
      <c r="H5" s="29">
        <f>宝可梦!#REF!</f>
        <v/>
      </c>
    </row>
    <row r="6" ht="15.5" customHeight="1" s="59">
      <c r="A6" s="29" t="inlineStr">
        <is>
          <t>宝可梦</t>
        </is>
      </c>
      <c r="B6" s="29">
        <f>宝可梦!A6</f>
        <v/>
      </c>
      <c r="C6" s="29">
        <f>宝可梦!B6</f>
        <v/>
      </c>
      <c r="D6" s="29">
        <f>宝可梦!C6</f>
        <v/>
      </c>
      <c r="E6" s="29">
        <f>宝可梦!D6</f>
        <v/>
      </c>
      <c r="F6" s="29">
        <f>宝可梦!E6</f>
        <v/>
      </c>
      <c r="G6" s="29">
        <f>宝可梦!G6</f>
        <v/>
      </c>
      <c r="H6" s="29">
        <f>宝可梦!#REF!</f>
        <v/>
      </c>
    </row>
    <row r="7" ht="15.5" customHeight="1" s="59">
      <c r="A7" s="29" t="inlineStr">
        <is>
          <t>宝可梦</t>
        </is>
      </c>
      <c r="B7" s="29">
        <f>宝可梦!A7</f>
        <v/>
      </c>
      <c r="C7" s="29">
        <f>宝可梦!B7</f>
        <v/>
      </c>
      <c r="D7" s="29">
        <f>宝可梦!C7</f>
        <v/>
      </c>
      <c r="E7" s="29">
        <f>宝可梦!D7</f>
        <v/>
      </c>
      <c r="F7" s="29">
        <f>宝可梦!E7</f>
        <v/>
      </c>
      <c r="G7" s="29">
        <f>宝可梦!G7</f>
        <v/>
      </c>
      <c r="H7" s="29">
        <f>宝可梦!#REF!</f>
        <v/>
      </c>
    </row>
    <row r="8" ht="15.5" customHeight="1" s="59">
      <c r="A8" s="29" t="inlineStr">
        <is>
          <t>宝可梦</t>
        </is>
      </c>
      <c r="B8" s="29">
        <f>宝可梦!A8</f>
        <v/>
      </c>
      <c r="C8" s="29">
        <f>宝可梦!B8</f>
        <v/>
      </c>
      <c r="D8" s="29">
        <f>宝可梦!C8</f>
        <v/>
      </c>
      <c r="E8" s="29">
        <f>宝可梦!D8</f>
        <v/>
      </c>
      <c r="F8" s="29">
        <f>宝可梦!E8</f>
        <v/>
      </c>
      <c r="G8" s="29">
        <f>宝可梦!G8</f>
        <v/>
      </c>
      <c r="H8" s="29">
        <f>宝可梦!#REF!</f>
        <v/>
      </c>
    </row>
    <row r="9" ht="15.5" customHeight="1" s="59">
      <c r="A9" s="29" t="inlineStr">
        <is>
          <t>宝可梦</t>
        </is>
      </c>
      <c r="B9" s="29">
        <f>宝可梦!A11</f>
        <v/>
      </c>
      <c r="C9" s="29">
        <f>宝可梦!B11</f>
        <v/>
      </c>
      <c r="D9" s="29">
        <f>宝可梦!C11</f>
        <v/>
      </c>
      <c r="E9" s="29">
        <f>宝可梦!D11</f>
        <v/>
      </c>
      <c r="F9" s="29">
        <f>宝可梦!E11</f>
        <v/>
      </c>
      <c r="G9" s="29">
        <f>宝可梦!G11</f>
        <v/>
      </c>
      <c r="H9" s="29">
        <f>宝可梦!#REF!</f>
        <v/>
      </c>
    </row>
    <row r="10" ht="15.5" customHeight="1" s="59">
      <c r="A10" s="29" t="inlineStr">
        <is>
          <t>宝可梦</t>
        </is>
      </c>
      <c r="B10" s="29">
        <f>宝可梦!A12</f>
        <v/>
      </c>
      <c r="C10" s="29">
        <f>宝可梦!B12</f>
        <v/>
      </c>
      <c r="D10" s="29">
        <f>宝可梦!C12</f>
        <v/>
      </c>
      <c r="E10" s="29">
        <f>宝可梦!D12</f>
        <v/>
      </c>
      <c r="F10" s="29">
        <f>宝可梦!E12</f>
        <v/>
      </c>
      <c r="G10" s="29">
        <f>宝可梦!G12</f>
        <v/>
      </c>
      <c r="H10" s="29">
        <f>宝可梦!#REF!</f>
        <v/>
      </c>
    </row>
    <row r="11" ht="15.5" customHeight="1" s="59">
      <c r="A11" s="29" t="inlineStr">
        <is>
          <t>宝可梦</t>
        </is>
      </c>
      <c r="B11" s="29">
        <f>宝可梦!A13</f>
        <v/>
      </c>
      <c r="C11" s="29">
        <f>宝可梦!B13</f>
        <v/>
      </c>
      <c r="D11" s="29">
        <f>宝可梦!C13</f>
        <v/>
      </c>
      <c r="E11" s="29">
        <f>宝可梦!D13</f>
        <v/>
      </c>
      <c r="F11" s="29">
        <f>宝可梦!E13</f>
        <v/>
      </c>
      <c r="G11" s="29">
        <f>宝可梦!G13</f>
        <v/>
      </c>
      <c r="H11" s="29">
        <f>宝可梦!#REF!</f>
        <v/>
      </c>
    </row>
    <row r="12" ht="15.5" customHeight="1" s="59">
      <c r="A12" s="29" t="inlineStr">
        <is>
          <t>宝可梦</t>
        </is>
      </c>
      <c r="B12" s="29">
        <f>宝可梦!A14</f>
        <v/>
      </c>
      <c r="C12" s="29">
        <f>宝可梦!B14</f>
        <v/>
      </c>
      <c r="D12" s="29">
        <f>宝可梦!C14</f>
        <v/>
      </c>
      <c r="E12" s="29">
        <f>宝可梦!D14</f>
        <v/>
      </c>
      <c r="F12" s="29">
        <f>宝可梦!E14</f>
        <v/>
      </c>
      <c r="G12" s="29">
        <f>宝可梦!G14</f>
        <v/>
      </c>
      <c r="H12" s="29">
        <f>宝可梦!#REF!</f>
        <v/>
      </c>
    </row>
    <row r="13" ht="15.5" customHeight="1" s="59">
      <c r="A13" s="29" t="inlineStr">
        <is>
          <t>宝可梦</t>
        </is>
      </c>
      <c r="B13" s="29">
        <f>宝可梦!A19</f>
        <v/>
      </c>
      <c r="C13" s="29">
        <f>宝可梦!B19</f>
        <v/>
      </c>
      <c r="D13" s="29">
        <f>宝可梦!C19</f>
        <v/>
      </c>
      <c r="E13" s="29">
        <f>宝可梦!D19</f>
        <v/>
      </c>
      <c r="F13" s="29">
        <f>宝可梦!E19</f>
        <v/>
      </c>
      <c r="G13" s="29">
        <f>宝可梦!G19</f>
        <v/>
      </c>
      <c r="H13" s="29">
        <f>宝可梦!#REF!</f>
        <v/>
      </c>
    </row>
    <row r="14" ht="15.5" customHeight="1" s="59">
      <c r="A14" s="29" t="inlineStr">
        <is>
          <t>宝可梦</t>
        </is>
      </c>
      <c r="B14" s="29">
        <f>宝可梦!A20</f>
        <v/>
      </c>
      <c r="C14" s="29">
        <f>宝可梦!B20</f>
        <v/>
      </c>
      <c r="D14" s="29">
        <f>宝可梦!C20</f>
        <v/>
      </c>
      <c r="E14" s="29">
        <f>宝可梦!D20</f>
        <v/>
      </c>
      <c r="F14" s="29">
        <f>宝可梦!E20</f>
        <v/>
      </c>
      <c r="G14" s="29">
        <f>宝可梦!G20</f>
        <v/>
      </c>
      <c r="H14" s="29">
        <f>宝可梦!#REF!</f>
        <v/>
      </c>
    </row>
    <row r="15" ht="15.5" customHeight="1" s="59">
      <c r="A15" s="29" t="inlineStr">
        <is>
          <t>宝可梦</t>
        </is>
      </c>
      <c r="B15" s="29">
        <f>宝可梦!A21</f>
        <v/>
      </c>
      <c r="C15" s="29">
        <f>宝可梦!B21</f>
        <v/>
      </c>
      <c r="D15" s="29">
        <f>宝可梦!C21</f>
        <v/>
      </c>
      <c r="E15" s="29">
        <f>宝可梦!D21</f>
        <v/>
      </c>
      <c r="F15" s="29">
        <f>宝可梦!E21</f>
        <v/>
      </c>
      <c r="G15" s="29">
        <f>宝可梦!G21</f>
        <v/>
      </c>
      <c r="H15" s="29">
        <f>宝可梦!#REF!</f>
        <v/>
      </c>
    </row>
    <row r="16" ht="15.5" customHeight="1" s="59">
      <c r="A16" s="29" t="inlineStr">
        <is>
          <t>宝可梦</t>
        </is>
      </c>
      <c r="B16" s="29">
        <f>宝可梦!A24</f>
        <v/>
      </c>
      <c r="C16" s="29">
        <f>宝可梦!B24</f>
        <v/>
      </c>
      <c r="D16" s="29">
        <f>宝可梦!C24</f>
        <v/>
      </c>
      <c r="E16" s="29">
        <f>宝可梦!D24</f>
        <v/>
      </c>
      <c r="F16" s="29">
        <f>宝可梦!E24</f>
        <v/>
      </c>
      <c r="G16" s="29">
        <f>宝可梦!G24</f>
        <v/>
      </c>
      <c r="H16" s="29">
        <f>宝可梦!#REF!</f>
        <v/>
      </c>
    </row>
    <row r="17" ht="15.5" customHeight="1" s="59">
      <c r="A17" s="29" t="inlineStr">
        <is>
          <t>宝可梦</t>
        </is>
      </c>
      <c r="B17" s="29">
        <f>宝可梦!A25</f>
        <v/>
      </c>
      <c r="C17" s="29">
        <f>宝可梦!B25</f>
        <v/>
      </c>
      <c r="D17" s="29">
        <f>宝可梦!C25</f>
        <v/>
      </c>
      <c r="E17" s="29">
        <f>宝可梦!D25</f>
        <v/>
      </c>
      <c r="F17" s="29">
        <f>宝可梦!E25</f>
        <v/>
      </c>
      <c r="G17" s="29">
        <f>宝可梦!G25</f>
        <v/>
      </c>
      <c r="H17" s="29">
        <f>宝可梦!#REF!</f>
        <v/>
      </c>
    </row>
    <row r="18" ht="15.5" customHeight="1" s="59">
      <c r="A18" s="29" t="inlineStr">
        <is>
          <t>宝可梦</t>
        </is>
      </c>
      <c r="B18" s="29">
        <f>宝可梦!A26</f>
        <v/>
      </c>
      <c r="C18" s="29">
        <f>宝可梦!B26</f>
        <v/>
      </c>
      <c r="D18" s="29">
        <f>宝可梦!C26</f>
        <v/>
      </c>
      <c r="E18" s="29">
        <f>宝可梦!D26</f>
        <v/>
      </c>
      <c r="F18" s="29">
        <f>宝可梦!E26</f>
        <v/>
      </c>
      <c r="G18" s="29">
        <f>宝可梦!G26</f>
        <v/>
      </c>
      <c r="H18" s="29">
        <f>宝可梦!#REF!</f>
        <v/>
      </c>
    </row>
    <row r="19" ht="15.5" customHeight="1" s="59">
      <c r="A19" s="29" t="inlineStr">
        <is>
          <t>宝可梦</t>
        </is>
      </c>
      <c r="B19" s="29">
        <f>宝可梦!A29</f>
        <v/>
      </c>
      <c r="C19" s="29">
        <f>宝可梦!B29</f>
        <v/>
      </c>
      <c r="D19" s="29">
        <f>宝可梦!C29</f>
        <v/>
      </c>
      <c r="E19" s="29">
        <f>宝可梦!D29</f>
        <v/>
      </c>
      <c r="F19" s="29">
        <f>宝可梦!E29</f>
        <v/>
      </c>
      <c r="G19" s="29">
        <f>宝可梦!G29</f>
        <v/>
      </c>
      <c r="H19" s="29">
        <f>宝可梦!#REF!</f>
        <v/>
      </c>
    </row>
    <row r="20" ht="15.5" customHeight="1" s="59">
      <c r="A20" s="29" t="inlineStr">
        <is>
          <t>宝可梦</t>
        </is>
      </c>
      <c r="B20" s="29">
        <f>宝可梦!A30</f>
        <v/>
      </c>
      <c r="C20" s="29">
        <f>宝可梦!B30</f>
        <v/>
      </c>
      <c r="D20" s="29">
        <f>宝可梦!C30</f>
        <v/>
      </c>
      <c r="E20" s="29">
        <f>宝可梦!D30</f>
        <v/>
      </c>
      <c r="F20" s="29">
        <f>宝可梦!E30</f>
        <v/>
      </c>
      <c r="G20" s="29">
        <f>宝可梦!G30</f>
        <v/>
      </c>
      <c r="H20" s="29">
        <f>宝可梦!#REF!</f>
        <v/>
      </c>
    </row>
    <row r="21" ht="15.5" customHeight="1" s="59">
      <c r="A21" s="29" t="inlineStr">
        <is>
          <t>宝可梦</t>
        </is>
      </c>
      <c r="B21" s="29">
        <f>宝可梦!A31</f>
        <v/>
      </c>
      <c r="C21" s="29">
        <f>宝可梦!B31</f>
        <v/>
      </c>
      <c r="D21" s="29">
        <f>宝可梦!C31</f>
        <v/>
      </c>
      <c r="E21" s="29">
        <f>宝可梦!D31</f>
        <v/>
      </c>
      <c r="F21" s="29">
        <f>宝可梦!E31</f>
        <v/>
      </c>
      <c r="G21" s="29">
        <f>宝可梦!G31</f>
        <v/>
      </c>
      <c r="H21" s="29">
        <f>宝可梦!#REF!</f>
        <v/>
      </c>
    </row>
    <row r="22" ht="15.5" customHeight="1" s="59">
      <c r="A22" s="29" t="inlineStr">
        <is>
          <t>宝可梦</t>
        </is>
      </c>
      <c r="B22" s="29">
        <f>宝可梦!A34</f>
        <v/>
      </c>
      <c r="C22" s="29">
        <f>宝可梦!B34</f>
        <v/>
      </c>
      <c r="D22" s="29">
        <f>宝可梦!C34</f>
        <v/>
      </c>
      <c r="E22" s="29">
        <f>宝可梦!D34</f>
        <v/>
      </c>
      <c r="F22" s="29">
        <f>宝可梦!E34</f>
        <v/>
      </c>
      <c r="G22" s="29">
        <f>宝可梦!G34</f>
        <v/>
      </c>
      <c r="H22" s="29">
        <f>宝可梦!#REF!</f>
        <v/>
      </c>
    </row>
    <row r="23" ht="15.5" customHeight="1" s="59">
      <c r="A23" s="29" t="inlineStr">
        <is>
          <t>宝可梦</t>
        </is>
      </c>
      <c r="B23" s="29">
        <f>宝可梦!A35</f>
        <v/>
      </c>
      <c r="C23" s="29">
        <f>宝可梦!B35</f>
        <v/>
      </c>
      <c r="D23" s="29">
        <f>宝可梦!C35</f>
        <v/>
      </c>
      <c r="E23" s="29">
        <f>宝可梦!D35</f>
        <v/>
      </c>
      <c r="F23" s="29">
        <f>宝可梦!E35</f>
        <v/>
      </c>
      <c r="G23" s="29">
        <f>宝可梦!G35</f>
        <v/>
      </c>
      <c r="H23" s="29">
        <f>宝可梦!#REF!</f>
        <v/>
      </c>
    </row>
    <row r="24" ht="15.5" customHeight="1" s="59">
      <c r="A24" s="29" t="inlineStr">
        <is>
          <t>宝可梦</t>
        </is>
      </c>
      <c r="B24" s="29">
        <f>宝可梦!A36</f>
        <v/>
      </c>
      <c r="C24" s="29">
        <f>宝可梦!B36</f>
        <v/>
      </c>
      <c r="D24" s="29">
        <f>宝可梦!C36</f>
        <v/>
      </c>
      <c r="E24" s="29">
        <f>宝可梦!D36</f>
        <v/>
      </c>
      <c r="F24" s="29">
        <f>宝可梦!E36</f>
        <v/>
      </c>
      <c r="G24" s="29">
        <f>宝可梦!G36</f>
        <v/>
      </c>
      <c r="H24" s="29">
        <f>宝可梦!#REF!</f>
        <v/>
      </c>
    </row>
    <row r="25" ht="15.5" customHeight="1" s="59">
      <c r="A25" s="29" t="inlineStr">
        <is>
          <t>宝可梦</t>
        </is>
      </c>
      <c r="B25" s="29">
        <f>宝可梦!A39</f>
        <v/>
      </c>
      <c r="C25" s="29">
        <f>宝可梦!B39</f>
        <v/>
      </c>
      <c r="D25" s="29">
        <f>宝可梦!C39</f>
        <v/>
      </c>
      <c r="E25" s="29">
        <f>宝可梦!D39</f>
        <v/>
      </c>
      <c r="F25" s="29">
        <f>宝可梦!E39</f>
        <v/>
      </c>
      <c r="G25" s="29">
        <f>宝可梦!G39</f>
        <v/>
      </c>
      <c r="H25" s="29">
        <f>宝可梦!#REF!</f>
        <v/>
      </c>
    </row>
    <row r="26" ht="15.5" customHeight="1" s="59">
      <c r="A26" s="29" t="inlineStr">
        <is>
          <t>宝可梦</t>
        </is>
      </c>
      <c r="B26" s="29">
        <f>宝可梦!A40</f>
        <v/>
      </c>
      <c r="C26" s="29">
        <f>宝可梦!B40</f>
        <v/>
      </c>
      <c r="D26" s="29">
        <f>宝可梦!C40</f>
        <v/>
      </c>
      <c r="E26" s="29">
        <f>宝可梦!D40</f>
        <v/>
      </c>
      <c r="F26" s="29">
        <f>宝可梦!E40</f>
        <v/>
      </c>
      <c r="G26" s="29">
        <f>宝可梦!G40</f>
        <v/>
      </c>
      <c r="H26" s="29">
        <f>宝可梦!#REF!</f>
        <v/>
      </c>
    </row>
    <row r="27" ht="15.5" customHeight="1" s="59">
      <c r="A27" s="29" t="inlineStr">
        <is>
          <t>宝可梦</t>
        </is>
      </c>
      <c r="B27" s="29">
        <f>宝可梦!A41</f>
        <v/>
      </c>
      <c r="C27" s="29">
        <f>宝可梦!B41</f>
        <v/>
      </c>
      <c r="D27" s="29">
        <f>宝可梦!C41</f>
        <v/>
      </c>
      <c r="E27" s="29">
        <f>宝可梦!D41</f>
        <v/>
      </c>
      <c r="F27" s="29">
        <f>宝可梦!E41</f>
        <v/>
      </c>
      <c r="G27" s="29">
        <f>宝可梦!G41</f>
        <v/>
      </c>
      <c r="H27" s="29">
        <f>宝可梦!#REF!</f>
        <v/>
      </c>
    </row>
    <row r="28" ht="15.5" customHeight="1" s="59">
      <c r="A28" s="29" t="inlineStr">
        <is>
          <t>宝可梦</t>
        </is>
      </c>
      <c r="B28" s="29">
        <f>宝可梦!A44</f>
        <v/>
      </c>
      <c r="C28" s="29">
        <f>宝可梦!B44</f>
        <v/>
      </c>
      <c r="D28" s="29">
        <f>宝可梦!C44</f>
        <v/>
      </c>
      <c r="E28" s="29">
        <f>宝可梦!D44</f>
        <v/>
      </c>
      <c r="F28" s="29">
        <f>宝可梦!E44</f>
        <v/>
      </c>
      <c r="G28" s="29">
        <f>宝可梦!G44</f>
        <v/>
      </c>
      <c r="H28" s="29">
        <f>宝可梦!#REF!</f>
        <v/>
      </c>
    </row>
    <row r="29" ht="15.5" customHeight="1" s="59">
      <c r="A29" s="29" t="inlineStr">
        <is>
          <t>宝可梦</t>
        </is>
      </c>
      <c r="B29" s="29">
        <f>宝可梦!A45</f>
        <v/>
      </c>
      <c r="C29" s="29">
        <f>宝可梦!B45</f>
        <v/>
      </c>
      <c r="D29" s="29">
        <f>宝可梦!C45</f>
        <v/>
      </c>
      <c r="E29" s="29">
        <f>宝可梦!D45</f>
        <v/>
      </c>
      <c r="F29" s="29">
        <f>宝可梦!E45</f>
        <v/>
      </c>
      <c r="G29" s="29">
        <f>宝可梦!G45</f>
        <v/>
      </c>
      <c r="H29" s="29">
        <f>宝可梦!#REF!</f>
        <v/>
      </c>
    </row>
    <row r="30" ht="15.5" customHeight="1" s="59">
      <c r="A30" s="29" t="inlineStr">
        <is>
          <t>宝可梦</t>
        </is>
      </c>
      <c r="B30" s="29">
        <f>宝可梦!A50</f>
        <v/>
      </c>
      <c r="C30" s="29">
        <f>宝可梦!B50</f>
        <v/>
      </c>
      <c r="D30" s="29">
        <f>宝可梦!C50</f>
        <v/>
      </c>
      <c r="E30" s="29">
        <f>宝可梦!D50</f>
        <v/>
      </c>
      <c r="F30" s="29">
        <f>宝可梦!E50</f>
        <v/>
      </c>
      <c r="G30" s="29">
        <f>宝可梦!G50</f>
        <v/>
      </c>
      <c r="H30" s="29">
        <f>宝可梦!#REF!</f>
        <v/>
      </c>
    </row>
    <row r="31" ht="15.5" customHeight="1" s="59">
      <c r="A31" s="29" t="inlineStr">
        <is>
          <t>宝可梦</t>
        </is>
      </c>
      <c r="B31" s="29">
        <f>宝可梦!A51</f>
        <v/>
      </c>
      <c r="C31" s="29">
        <f>宝可梦!B51</f>
        <v/>
      </c>
      <c r="D31" s="29">
        <f>宝可梦!C51</f>
        <v/>
      </c>
      <c r="E31" s="29">
        <f>宝可梦!D51</f>
        <v/>
      </c>
      <c r="F31" s="29">
        <f>宝可梦!E51</f>
        <v/>
      </c>
      <c r="G31" s="29">
        <f>宝可梦!G51</f>
        <v/>
      </c>
      <c r="H31" s="29">
        <f>宝可梦!#REF!</f>
        <v/>
      </c>
    </row>
    <row r="32" ht="15.5" customHeight="1" s="59">
      <c r="A32" s="29" t="inlineStr">
        <is>
          <t>宝可梦</t>
        </is>
      </c>
      <c r="B32" s="29">
        <f>宝可梦!A54</f>
        <v/>
      </c>
      <c r="C32" s="29">
        <f>宝可梦!B54</f>
        <v/>
      </c>
      <c r="D32" s="29">
        <f>宝可梦!C54</f>
        <v/>
      </c>
      <c r="E32" s="29">
        <f>宝可梦!D54</f>
        <v/>
      </c>
      <c r="F32" s="29">
        <f>宝可梦!E54</f>
        <v/>
      </c>
      <c r="G32" s="29">
        <f>宝可梦!G54</f>
        <v/>
      </c>
      <c r="H32" s="29">
        <f>宝可梦!#REF!</f>
        <v/>
      </c>
    </row>
    <row r="33" ht="15.5" customHeight="1" s="59">
      <c r="A33" s="29" t="inlineStr">
        <is>
          <t>宝可梦</t>
        </is>
      </c>
      <c r="B33" s="29">
        <f>宝可梦!A55</f>
        <v/>
      </c>
      <c r="C33" s="29">
        <f>宝可梦!B55</f>
        <v/>
      </c>
      <c r="D33" s="29">
        <f>宝可梦!C55</f>
        <v/>
      </c>
      <c r="E33" s="29">
        <f>宝可梦!D55</f>
        <v/>
      </c>
      <c r="F33" s="29">
        <f>宝可梦!E55</f>
        <v/>
      </c>
      <c r="G33" s="29">
        <f>宝可梦!G55</f>
        <v/>
      </c>
      <c r="H33" s="29">
        <f>宝可梦!#REF!</f>
        <v/>
      </c>
    </row>
    <row r="34" ht="15.5" customHeight="1" s="59">
      <c r="A34" s="29" t="inlineStr">
        <is>
          <t>宝可梦</t>
        </is>
      </c>
      <c r="B34" s="29">
        <f>宝可梦!A58</f>
        <v/>
      </c>
      <c r="C34" s="29">
        <f>宝可梦!B58</f>
        <v/>
      </c>
      <c r="D34" s="29">
        <f>宝可梦!C58</f>
        <v/>
      </c>
      <c r="E34" s="29">
        <f>宝可梦!D58</f>
        <v/>
      </c>
      <c r="F34" s="29">
        <f>宝可梦!E58</f>
        <v/>
      </c>
      <c r="G34" s="29">
        <f>宝可梦!G58</f>
        <v/>
      </c>
      <c r="H34" s="29">
        <f>宝可梦!#REF!</f>
        <v/>
      </c>
    </row>
    <row r="35" ht="15.5" customHeight="1" s="59">
      <c r="A35" s="29" t="inlineStr">
        <is>
          <t>宝可梦</t>
        </is>
      </c>
      <c r="B35" s="29">
        <f>宝可梦!A59</f>
        <v/>
      </c>
      <c r="C35" s="29">
        <f>宝可梦!B59</f>
        <v/>
      </c>
      <c r="D35" s="29">
        <f>宝可梦!C59</f>
        <v/>
      </c>
      <c r="E35" s="29">
        <f>宝可梦!D59</f>
        <v/>
      </c>
      <c r="F35" s="29">
        <f>宝可梦!E59</f>
        <v/>
      </c>
      <c r="G35" s="29">
        <f>宝可梦!G59</f>
        <v/>
      </c>
      <c r="H35" s="29">
        <f>宝可梦!#REF!</f>
        <v/>
      </c>
    </row>
    <row r="36" ht="15.5" customHeight="1" s="59">
      <c r="A36" s="29" t="inlineStr">
        <is>
          <t>宝可梦</t>
        </is>
      </c>
      <c r="B36" s="29">
        <f>宝可梦!A62</f>
        <v/>
      </c>
      <c r="C36" s="29">
        <f>宝可梦!B62</f>
        <v/>
      </c>
      <c r="D36" s="29">
        <f>宝可梦!C62</f>
        <v/>
      </c>
      <c r="E36" s="29">
        <f>宝可梦!D62</f>
        <v/>
      </c>
      <c r="F36" s="29">
        <f>宝可梦!E62</f>
        <v/>
      </c>
      <c r="G36" s="29">
        <f>宝可梦!G62</f>
        <v/>
      </c>
      <c r="H36" s="29">
        <f>宝可梦!#REF!</f>
        <v/>
      </c>
    </row>
    <row r="37" ht="15.5" customHeight="1" s="59">
      <c r="A37" s="29" t="inlineStr">
        <is>
          <t>宝可梦</t>
        </is>
      </c>
      <c r="B37" s="29">
        <f>宝可梦!A63</f>
        <v/>
      </c>
      <c r="C37" s="29">
        <f>宝可梦!B63</f>
        <v/>
      </c>
      <c r="D37" s="29">
        <f>宝可梦!C63</f>
        <v/>
      </c>
      <c r="E37" s="29">
        <f>宝可梦!D63</f>
        <v/>
      </c>
      <c r="F37" s="29">
        <f>宝可梦!E63</f>
        <v/>
      </c>
      <c r="G37" s="29">
        <f>宝可梦!G63</f>
        <v/>
      </c>
      <c r="H37" s="29">
        <f>宝可梦!#REF!</f>
        <v/>
      </c>
    </row>
    <row r="38" ht="15.5" customHeight="1" s="59">
      <c r="A38" s="29" t="inlineStr">
        <is>
          <t>宝可梦</t>
        </is>
      </c>
      <c r="B38" s="29">
        <f>宝可梦!A66</f>
        <v/>
      </c>
      <c r="C38" s="29">
        <f>宝可梦!B66</f>
        <v/>
      </c>
      <c r="D38" s="29">
        <f>宝可梦!C66</f>
        <v/>
      </c>
      <c r="E38" s="29">
        <f>宝可梦!D66</f>
        <v/>
      </c>
      <c r="F38" s="29">
        <f>宝可梦!E66</f>
        <v/>
      </c>
      <c r="G38" s="29">
        <f>宝可梦!G66</f>
        <v/>
      </c>
      <c r="H38" s="29">
        <f>宝可梦!#REF!</f>
        <v/>
      </c>
    </row>
    <row r="39" ht="15.5" customHeight="1" s="59">
      <c r="A39" s="29" t="inlineStr">
        <is>
          <t>宝可梦</t>
        </is>
      </c>
      <c r="B39" s="29">
        <f>宝可梦!A67</f>
        <v/>
      </c>
      <c r="C39" s="29">
        <f>宝可梦!B67</f>
        <v/>
      </c>
      <c r="D39" s="29">
        <f>宝可梦!C67</f>
        <v/>
      </c>
      <c r="E39" s="29">
        <f>宝可梦!D67</f>
        <v/>
      </c>
      <c r="F39" s="29">
        <f>宝可梦!E67</f>
        <v/>
      </c>
      <c r="G39" s="29">
        <f>宝可梦!G67</f>
        <v/>
      </c>
      <c r="H39" s="29">
        <f>宝可梦!#REF!</f>
        <v/>
      </c>
    </row>
    <row r="40" ht="15.5" customHeight="1" s="59">
      <c r="A40" s="29" t="inlineStr">
        <is>
          <t>宝可梦</t>
        </is>
      </c>
      <c r="B40" s="29">
        <f>宝可梦!A70</f>
        <v/>
      </c>
      <c r="C40" s="29">
        <f>宝可梦!B70</f>
        <v/>
      </c>
      <c r="D40" s="29">
        <f>宝可梦!C70</f>
        <v/>
      </c>
      <c r="E40" s="29">
        <f>宝可梦!D70</f>
        <v/>
      </c>
      <c r="F40" s="29">
        <f>宝可梦!E70</f>
        <v/>
      </c>
      <c r="G40" s="29">
        <f>宝可梦!G70</f>
        <v/>
      </c>
      <c r="H40" s="29">
        <f>宝可梦!#REF!</f>
        <v/>
      </c>
    </row>
    <row r="41" ht="15.5" customHeight="1" s="59">
      <c r="A41" s="29" t="inlineStr">
        <is>
          <t>宝可梦</t>
        </is>
      </c>
      <c r="B41" s="29">
        <f>宝可梦!A71</f>
        <v/>
      </c>
      <c r="C41" s="29">
        <f>宝可梦!B71</f>
        <v/>
      </c>
      <c r="D41" s="29">
        <f>宝可梦!C71</f>
        <v/>
      </c>
      <c r="E41" s="29">
        <f>宝可梦!D71</f>
        <v/>
      </c>
      <c r="F41" s="29">
        <f>宝可梦!E71</f>
        <v/>
      </c>
      <c r="G41" s="29">
        <f>宝可梦!G71</f>
        <v/>
      </c>
      <c r="H41" s="29">
        <f>宝可梦!#REF!</f>
        <v/>
      </c>
    </row>
    <row r="42" ht="15.5" customHeight="1" s="59">
      <c r="A42" s="29" t="inlineStr">
        <is>
          <t>宝可梦</t>
        </is>
      </c>
      <c r="B42" s="29">
        <f>宝可梦!A74</f>
        <v/>
      </c>
      <c r="C42" s="29">
        <f>宝可梦!B74</f>
        <v/>
      </c>
      <c r="D42" s="29">
        <f>宝可梦!C74</f>
        <v/>
      </c>
      <c r="E42" s="29">
        <f>宝可梦!D74</f>
        <v/>
      </c>
      <c r="F42" s="29">
        <f>宝可梦!E74</f>
        <v/>
      </c>
      <c r="G42" s="29">
        <f>宝可梦!G74</f>
        <v/>
      </c>
      <c r="H42" s="29">
        <f>宝可梦!#REF!</f>
        <v/>
      </c>
    </row>
    <row r="43" ht="15.5" customHeight="1" s="59">
      <c r="A43" s="29" t="inlineStr">
        <is>
          <t>宝可梦</t>
        </is>
      </c>
      <c r="B43" s="29">
        <f>宝可梦!A75</f>
        <v/>
      </c>
      <c r="C43" s="29">
        <f>宝可梦!B75</f>
        <v/>
      </c>
      <c r="D43" s="29">
        <f>宝可梦!C75</f>
        <v/>
      </c>
      <c r="E43" s="29">
        <f>宝可梦!D75</f>
        <v/>
      </c>
      <c r="F43" s="29">
        <f>宝可梦!E75</f>
        <v/>
      </c>
      <c r="G43" s="29">
        <f>宝可梦!G75</f>
        <v/>
      </c>
      <c r="H43" s="29">
        <f>宝可梦!#REF!</f>
        <v/>
      </c>
    </row>
    <row r="44" ht="15.5" customHeight="1" s="59">
      <c r="A44" s="29" t="inlineStr">
        <is>
          <t>宝可梦</t>
        </is>
      </c>
      <c r="B44" s="29">
        <f>宝可梦!A78</f>
        <v/>
      </c>
      <c r="C44" s="29">
        <f>宝可梦!B78</f>
        <v/>
      </c>
      <c r="D44" s="29">
        <f>宝可梦!C78</f>
        <v/>
      </c>
      <c r="E44" s="29">
        <f>宝可梦!D78</f>
        <v/>
      </c>
      <c r="F44" s="29">
        <f>宝可梦!E78</f>
        <v/>
      </c>
      <c r="G44" s="29">
        <f>宝可梦!G78</f>
        <v/>
      </c>
      <c r="H44" s="29">
        <f>宝可梦!#REF!</f>
        <v/>
      </c>
    </row>
    <row r="45" ht="15.5" customHeight="1" s="59">
      <c r="A45" s="29" t="inlineStr">
        <is>
          <t>宝可梦</t>
        </is>
      </c>
      <c r="B45" s="29">
        <f>宝可梦!A79</f>
        <v/>
      </c>
      <c r="C45" s="29">
        <f>宝可梦!B79</f>
        <v/>
      </c>
      <c r="D45" s="29">
        <f>宝可梦!C79</f>
        <v/>
      </c>
      <c r="E45" s="29">
        <f>宝可梦!D79</f>
        <v/>
      </c>
      <c r="F45" s="29">
        <f>宝可梦!E79</f>
        <v/>
      </c>
      <c r="G45" s="29">
        <f>宝可梦!G79</f>
        <v/>
      </c>
      <c r="H45" s="29">
        <f>宝可梦!#REF!</f>
        <v/>
      </c>
    </row>
    <row r="46" ht="15.5" customHeight="1" s="59">
      <c r="A46" s="29" t="inlineStr">
        <is>
          <t>宝可梦</t>
        </is>
      </c>
      <c r="B46" s="29">
        <f>宝可梦!A82</f>
        <v/>
      </c>
      <c r="C46" s="29">
        <f>宝可梦!B82</f>
        <v/>
      </c>
      <c r="D46" s="29">
        <f>宝可梦!C82</f>
        <v/>
      </c>
      <c r="E46" s="29">
        <f>宝可梦!D82</f>
        <v/>
      </c>
      <c r="F46" s="29">
        <f>宝可梦!E82</f>
        <v/>
      </c>
      <c r="G46" s="29">
        <f>宝可梦!G82</f>
        <v/>
      </c>
      <c r="H46" s="29">
        <f>宝可梦!#REF!</f>
        <v/>
      </c>
    </row>
    <row r="47" ht="15.5" customHeight="1" s="59">
      <c r="A47" s="29" t="inlineStr">
        <is>
          <t>宝可梦</t>
        </is>
      </c>
      <c r="B47" s="29">
        <f>宝可梦!A83</f>
        <v/>
      </c>
      <c r="C47" s="29">
        <f>宝可梦!B83</f>
        <v/>
      </c>
      <c r="D47" s="29">
        <f>宝可梦!C83</f>
        <v/>
      </c>
      <c r="E47" s="29">
        <f>宝可梦!D83</f>
        <v/>
      </c>
      <c r="F47" s="29">
        <f>宝可梦!E83</f>
        <v/>
      </c>
      <c r="G47" s="29">
        <f>宝可梦!G83</f>
        <v/>
      </c>
      <c r="H47" s="29">
        <f>宝可梦!#REF!</f>
        <v/>
      </c>
    </row>
    <row r="48" ht="15.5" customHeight="1" s="59">
      <c r="A48" s="29" t="inlineStr">
        <is>
          <t>宝可梦</t>
        </is>
      </c>
      <c r="B48" s="29">
        <f>宝可梦!A86</f>
        <v/>
      </c>
      <c r="C48" s="29">
        <f>宝可梦!B86</f>
        <v/>
      </c>
      <c r="D48" s="29">
        <f>宝可梦!C86</f>
        <v/>
      </c>
      <c r="E48" s="29">
        <f>宝可梦!D86</f>
        <v/>
      </c>
      <c r="F48" s="29">
        <f>宝可梦!E86</f>
        <v/>
      </c>
      <c r="G48" s="29">
        <f>宝可梦!G86</f>
        <v/>
      </c>
      <c r="H48" s="29">
        <f>宝可梦!#REF!</f>
        <v/>
      </c>
    </row>
    <row r="49" ht="15.5" customHeight="1" s="59">
      <c r="A49" s="29" t="inlineStr">
        <is>
          <t>宝可梦</t>
        </is>
      </c>
      <c r="B49" s="29">
        <f>宝可梦!A87</f>
        <v/>
      </c>
      <c r="C49" s="29">
        <f>宝可梦!B87</f>
        <v/>
      </c>
      <c r="D49" s="29">
        <f>宝可梦!C87</f>
        <v/>
      </c>
      <c r="E49" s="29">
        <f>宝可梦!D87</f>
        <v/>
      </c>
      <c r="F49" s="29">
        <f>宝可梦!E87</f>
        <v/>
      </c>
      <c r="G49" s="29">
        <f>宝可梦!G87</f>
        <v/>
      </c>
      <c r="H49" s="29">
        <f>宝可梦!#REF!</f>
        <v/>
      </c>
    </row>
    <row r="50" ht="15.5" customHeight="1" s="59">
      <c r="A50" s="29" t="inlineStr">
        <is>
          <t>宝可梦</t>
        </is>
      </c>
      <c r="B50" s="29">
        <f>宝可梦!A88</f>
        <v/>
      </c>
      <c r="C50" s="29">
        <f>宝可梦!B88</f>
        <v/>
      </c>
      <c r="D50" s="29">
        <f>宝可梦!C88</f>
        <v/>
      </c>
      <c r="E50" s="29">
        <f>宝可梦!D88</f>
        <v/>
      </c>
      <c r="F50" s="29">
        <f>宝可梦!E88</f>
        <v/>
      </c>
      <c r="G50" s="29">
        <f>宝可梦!G88</f>
        <v/>
      </c>
      <c r="H50" s="29">
        <f>宝可梦!#REF!</f>
        <v/>
      </c>
    </row>
    <row r="51" ht="15.5" customHeight="1" s="59">
      <c r="A51" s="29" t="inlineStr">
        <is>
          <t>宝可梦</t>
        </is>
      </c>
      <c r="B51" s="29">
        <f>宝可梦!A89</f>
        <v/>
      </c>
      <c r="C51" s="29">
        <f>宝可梦!B89</f>
        <v/>
      </c>
      <c r="D51" s="29">
        <f>宝可梦!C89</f>
        <v/>
      </c>
      <c r="E51" s="29">
        <f>宝可梦!D89</f>
        <v/>
      </c>
      <c r="F51" s="29">
        <f>宝可梦!E89</f>
        <v/>
      </c>
      <c r="G51" s="29">
        <f>宝可梦!G89</f>
        <v/>
      </c>
      <c r="H51" s="29">
        <f>宝可梦!#REF!</f>
        <v/>
      </c>
    </row>
    <row r="52" ht="15.5" customHeight="1" s="59">
      <c r="A52" s="29" t="inlineStr">
        <is>
          <t>宝可梦</t>
        </is>
      </c>
      <c r="B52" s="29">
        <f>宝可梦!A90</f>
        <v/>
      </c>
      <c r="C52" s="29">
        <f>宝可梦!B90</f>
        <v/>
      </c>
      <c r="D52" s="29">
        <f>宝可梦!C90</f>
        <v/>
      </c>
      <c r="E52" s="29">
        <f>宝可梦!D90</f>
        <v/>
      </c>
      <c r="F52" s="29">
        <f>宝可梦!E90</f>
        <v/>
      </c>
      <c r="G52" s="29">
        <f>宝可梦!G90</f>
        <v/>
      </c>
      <c r="H52" s="29">
        <f>宝可梦!#REF!</f>
        <v/>
      </c>
    </row>
    <row r="53" ht="15.5" customHeight="1" s="59">
      <c r="A53" s="29" t="inlineStr">
        <is>
          <t>宝可梦</t>
        </is>
      </c>
      <c r="B53" s="29">
        <f>宝可梦!A91</f>
        <v/>
      </c>
      <c r="C53" s="29">
        <f>宝可梦!B91</f>
        <v/>
      </c>
      <c r="D53" s="29">
        <f>宝可梦!C91</f>
        <v/>
      </c>
      <c r="E53" s="29">
        <f>宝可梦!D91</f>
        <v/>
      </c>
      <c r="F53" s="29">
        <f>宝可梦!E91</f>
        <v/>
      </c>
      <c r="G53" s="29">
        <f>宝可梦!G91</f>
        <v/>
      </c>
      <c r="H53" s="29">
        <f>宝可梦!#REF!</f>
        <v/>
      </c>
    </row>
    <row r="54" ht="15.5" customHeight="1" s="59">
      <c r="A54" s="29" t="inlineStr">
        <is>
          <t>宝可梦</t>
        </is>
      </c>
      <c r="B54" s="29">
        <f>宝可梦!A92</f>
        <v/>
      </c>
      <c r="C54" s="29">
        <f>宝可梦!B92</f>
        <v/>
      </c>
      <c r="D54" s="29">
        <f>宝可梦!C92</f>
        <v/>
      </c>
      <c r="E54" s="29">
        <f>宝可梦!D92</f>
        <v/>
      </c>
      <c r="F54" s="29">
        <f>宝可梦!E92</f>
        <v/>
      </c>
      <c r="G54" s="29">
        <f>宝可梦!G92</f>
        <v/>
      </c>
      <c r="H54" s="29">
        <f>宝可梦!#REF!</f>
        <v/>
      </c>
    </row>
    <row r="55" ht="15.5" customHeight="1" s="59">
      <c r="A55" s="29" t="inlineStr">
        <is>
          <t>宝可梦</t>
        </is>
      </c>
      <c r="B55" s="29">
        <f>宝可梦!A93</f>
        <v/>
      </c>
      <c r="C55" s="29">
        <f>宝可梦!B93</f>
        <v/>
      </c>
      <c r="D55" s="29">
        <f>宝可梦!C93</f>
        <v/>
      </c>
      <c r="E55" s="29">
        <f>宝可梦!D93</f>
        <v/>
      </c>
      <c r="F55" s="29">
        <f>宝可梦!E93</f>
        <v/>
      </c>
      <c r="G55" s="29">
        <f>宝可梦!G93</f>
        <v/>
      </c>
      <c r="H55" s="29">
        <f>宝可梦!#REF!</f>
        <v/>
      </c>
    </row>
    <row r="56" ht="15.5" customHeight="1" s="59">
      <c r="A56" s="29" t="inlineStr">
        <is>
          <t>宝可梦</t>
        </is>
      </c>
      <c r="B56" s="29">
        <f>宝可梦!A94</f>
        <v/>
      </c>
      <c r="C56" s="29">
        <f>宝可梦!B94</f>
        <v/>
      </c>
      <c r="D56" s="29">
        <f>宝可梦!C94</f>
        <v/>
      </c>
      <c r="E56" s="29">
        <f>宝可梦!D94</f>
        <v/>
      </c>
      <c r="F56" s="29">
        <f>宝可梦!E94</f>
        <v/>
      </c>
      <c r="G56" s="29">
        <f>宝可梦!G94</f>
        <v/>
      </c>
      <c r="H56" s="29">
        <f>宝可梦!#REF!</f>
        <v/>
      </c>
    </row>
    <row r="57" ht="15.5" customHeight="1" s="59">
      <c r="A57" s="29" t="inlineStr">
        <is>
          <t>宝可梦</t>
        </is>
      </c>
      <c r="B57" s="29">
        <f>宝可梦!A95</f>
        <v/>
      </c>
      <c r="C57" s="29">
        <f>宝可梦!B95</f>
        <v/>
      </c>
      <c r="D57" s="29">
        <f>宝可梦!C95</f>
        <v/>
      </c>
      <c r="E57" s="29">
        <f>宝可梦!D95</f>
        <v/>
      </c>
      <c r="F57" s="29">
        <f>宝可梦!E95</f>
        <v/>
      </c>
      <c r="G57" s="29">
        <f>宝可梦!G95</f>
        <v/>
      </c>
      <c r="H57" s="29">
        <f>宝可梦!#REF!</f>
        <v/>
      </c>
    </row>
    <row r="58" ht="15.5" customHeight="1" s="59">
      <c r="A58" s="29" t="inlineStr">
        <is>
          <t>宝可梦</t>
        </is>
      </c>
      <c r="B58" s="29">
        <f>宝可梦!A96</f>
        <v/>
      </c>
      <c r="C58" s="29">
        <f>宝可梦!B96</f>
        <v/>
      </c>
      <c r="D58" s="29">
        <f>宝可梦!C96</f>
        <v/>
      </c>
      <c r="E58" s="29">
        <f>宝可梦!D96</f>
        <v/>
      </c>
      <c r="F58" s="29">
        <f>宝可梦!E96</f>
        <v/>
      </c>
      <c r="G58" s="29">
        <f>宝可梦!G96</f>
        <v/>
      </c>
      <c r="H58" s="29">
        <f>宝可梦!#REF!</f>
        <v/>
      </c>
    </row>
    <row r="59" ht="15.5" customHeight="1" s="59">
      <c r="A59" s="29" t="inlineStr">
        <is>
          <t>宝可梦</t>
        </is>
      </c>
      <c r="B59" s="29">
        <f>宝可梦!A100</f>
        <v/>
      </c>
      <c r="C59" s="29">
        <f>宝可梦!B100</f>
        <v/>
      </c>
      <c r="D59" s="29">
        <f>宝可梦!C100</f>
        <v/>
      </c>
      <c r="E59" s="29">
        <f>宝可梦!D100</f>
        <v/>
      </c>
      <c r="F59" s="29">
        <f>宝可梦!E100</f>
        <v/>
      </c>
      <c r="G59" s="29">
        <f>宝可梦!G100</f>
        <v/>
      </c>
      <c r="H59" s="29">
        <f>宝可梦!#REF!</f>
        <v/>
      </c>
    </row>
    <row r="60" ht="15.5" customHeight="1" s="59">
      <c r="A60" s="29" t="inlineStr">
        <is>
          <t>宝可梦</t>
        </is>
      </c>
      <c r="B60" s="29">
        <f>宝可梦!A101</f>
        <v/>
      </c>
      <c r="C60" s="29">
        <f>宝可梦!B101</f>
        <v/>
      </c>
      <c r="D60" s="29">
        <f>宝可梦!C101</f>
        <v/>
      </c>
      <c r="E60" s="29">
        <f>宝可梦!D101</f>
        <v/>
      </c>
      <c r="F60" s="29">
        <f>宝可梦!E101</f>
        <v/>
      </c>
      <c r="G60" s="29">
        <f>宝可梦!G101</f>
        <v/>
      </c>
      <c r="H60" s="29">
        <f>宝可梦!#REF!</f>
        <v/>
      </c>
    </row>
    <row r="61" ht="15.5" customHeight="1" s="59">
      <c r="A61" s="29" t="inlineStr">
        <is>
          <t>宝可梦</t>
        </is>
      </c>
      <c r="B61" s="29">
        <f>宝可梦!A102</f>
        <v/>
      </c>
      <c r="C61" s="29">
        <f>宝可梦!B102</f>
        <v/>
      </c>
      <c r="D61" s="29">
        <f>宝可梦!C102</f>
        <v/>
      </c>
      <c r="E61" s="29">
        <f>宝可梦!D102</f>
        <v/>
      </c>
      <c r="F61" s="29">
        <f>宝可梦!E102</f>
        <v/>
      </c>
      <c r="G61" s="29">
        <f>宝可梦!G102</f>
        <v/>
      </c>
      <c r="H61" s="29">
        <f>宝可梦!#REF!</f>
        <v/>
      </c>
    </row>
    <row r="62" ht="15.5" customHeight="1" s="59">
      <c r="A62" s="29" t="inlineStr">
        <is>
          <t>宝可梦</t>
        </is>
      </c>
      <c r="B62" s="29">
        <f>宝可梦!A103</f>
        <v/>
      </c>
      <c r="C62" s="29">
        <f>宝可梦!B103</f>
        <v/>
      </c>
      <c r="D62" s="29">
        <f>宝可梦!C103</f>
        <v/>
      </c>
      <c r="E62" s="29">
        <f>宝可梦!D103</f>
        <v/>
      </c>
      <c r="F62" s="29">
        <f>宝可梦!E103</f>
        <v/>
      </c>
      <c r="G62" s="29">
        <f>宝可梦!G103</f>
        <v/>
      </c>
      <c r="H62" s="29">
        <f>宝可梦!#REF!</f>
        <v/>
      </c>
    </row>
    <row r="63" ht="15.5" customHeight="1" s="59">
      <c r="A63" s="29" t="inlineStr">
        <is>
          <t>宝可梦</t>
        </is>
      </c>
      <c r="B63" s="29">
        <f>宝可梦!A104</f>
        <v/>
      </c>
      <c r="C63" s="29">
        <f>宝可梦!B104</f>
        <v/>
      </c>
      <c r="D63" s="29">
        <f>宝可梦!C104</f>
        <v/>
      </c>
      <c r="E63" s="29">
        <f>宝可梦!D104</f>
        <v/>
      </c>
      <c r="F63" s="29">
        <f>宝可梦!E104</f>
        <v/>
      </c>
      <c r="G63" s="29">
        <f>宝可梦!G104</f>
        <v/>
      </c>
      <c r="H63" s="29">
        <f>宝可梦!#REF!</f>
        <v/>
      </c>
    </row>
    <row r="64" ht="15.5" customHeight="1" s="59">
      <c r="A64" s="29" t="inlineStr">
        <is>
          <t>宝可梦</t>
        </is>
      </c>
      <c r="B64" s="29">
        <f>宝可梦!A107</f>
        <v/>
      </c>
      <c r="C64" s="29">
        <f>宝可梦!B107</f>
        <v/>
      </c>
      <c r="D64" s="29">
        <f>宝可梦!C107</f>
        <v/>
      </c>
      <c r="E64" s="29">
        <f>宝可梦!D107</f>
        <v/>
      </c>
      <c r="F64" s="29">
        <f>宝可梦!E107</f>
        <v/>
      </c>
      <c r="G64" s="29">
        <f>宝可梦!G107</f>
        <v/>
      </c>
      <c r="H64" s="29">
        <f>宝可梦!#REF!</f>
        <v/>
      </c>
    </row>
    <row r="65" ht="15.5" customHeight="1" s="59">
      <c r="A65" s="29" t="inlineStr">
        <is>
          <t>宝可梦</t>
        </is>
      </c>
      <c r="B65" s="29">
        <f>宝可梦!A108</f>
        <v/>
      </c>
      <c r="C65" s="29">
        <f>宝可梦!B108</f>
        <v/>
      </c>
      <c r="D65" s="29">
        <f>宝可梦!C108</f>
        <v/>
      </c>
      <c r="E65" s="29">
        <f>宝可梦!D108</f>
        <v/>
      </c>
      <c r="F65" s="29">
        <f>宝可梦!E108</f>
        <v/>
      </c>
      <c r="G65" s="29">
        <f>宝可梦!G108</f>
        <v/>
      </c>
      <c r="H65" s="29">
        <f>宝可梦!#REF!</f>
        <v/>
      </c>
    </row>
    <row r="66" ht="15.5" customHeight="1" s="59">
      <c r="A66" s="29" t="inlineStr">
        <is>
          <t>宝可梦</t>
        </is>
      </c>
      <c r="B66" s="29">
        <f>宝可梦!A109</f>
        <v/>
      </c>
      <c r="C66" s="29">
        <f>宝可梦!B109</f>
        <v/>
      </c>
      <c r="D66" s="29">
        <f>宝可梦!C109</f>
        <v/>
      </c>
      <c r="E66" s="29">
        <f>宝可梦!D109</f>
        <v/>
      </c>
      <c r="F66" s="29">
        <f>宝可梦!E109</f>
        <v/>
      </c>
      <c r="G66" s="29">
        <f>宝可梦!G109</f>
        <v/>
      </c>
      <c r="H66" s="29">
        <f>宝可梦!#REF!</f>
        <v/>
      </c>
    </row>
    <row r="67" ht="15.5" customHeight="1" s="59">
      <c r="A67" s="29" t="inlineStr">
        <is>
          <t>宝可梦</t>
        </is>
      </c>
      <c r="B67" s="29">
        <f>宝可梦!A110</f>
        <v/>
      </c>
      <c r="C67" s="29">
        <f>宝可梦!B110</f>
        <v/>
      </c>
      <c r="D67" s="29">
        <f>宝可梦!C110</f>
        <v/>
      </c>
      <c r="E67" s="29">
        <f>宝可梦!D110</f>
        <v/>
      </c>
      <c r="F67" s="29">
        <f>宝可梦!E110</f>
        <v/>
      </c>
      <c r="G67" s="29">
        <f>宝可梦!G110</f>
        <v/>
      </c>
      <c r="H67" s="29">
        <f>宝可梦!#REF!</f>
        <v/>
      </c>
    </row>
    <row r="68" ht="15.5" customHeight="1" s="59">
      <c r="A68" s="29" t="inlineStr">
        <is>
          <t>宝可梦</t>
        </is>
      </c>
      <c r="B68" s="29">
        <f>宝可梦!A111</f>
        <v/>
      </c>
      <c r="C68" s="29">
        <f>宝可梦!B111</f>
        <v/>
      </c>
      <c r="D68" s="29">
        <f>宝可梦!C111</f>
        <v/>
      </c>
      <c r="E68" s="29">
        <f>宝可梦!D111</f>
        <v/>
      </c>
      <c r="F68" s="29">
        <f>宝可梦!E111</f>
        <v/>
      </c>
      <c r="G68" s="29">
        <f>宝可梦!G111</f>
        <v/>
      </c>
      <c r="H68" s="29">
        <f>宝可梦!#REF!</f>
        <v/>
      </c>
    </row>
    <row r="69" ht="15.5" customHeight="1" s="59">
      <c r="A69" s="29" t="inlineStr">
        <is>
          <t>宝可梦</t>
        </is>
      </c>
      <c r="B69" s="29">
        <f>宝可梦!A112</f>
        <v/>
      </c>
      <c r="C69" s="29">
        <f>宝可梦!B112</f>
        <v/>
      </c>
      <c r="D69" s="29">
        <f>宝可梦!C112</f>
        <v/>
      </c>
      <c r="E69" s="29">
        <f>宝可梦!D112</f>
        <v/>
      </c>
      <c r="F69" s="29">
        <f>宝可梦!E112</f>
        <v/>
      </c>
      <c r="G69" s="29">
        <f>宝可梦!G112</f>
        <v/>
      </c>
      <c r="H69" s="29">
        <f>宝可梦!#REF!</f>
        <v/>
      </c>
    </row>
    <row r="70" ht="15.5" customHeight="1" s="59">
      <c r="A70" s="29" t="inlineStr">
        <is>
          <t>宝可梦</t>
        </is>
      </c>
      <c r="B70" s="29">
        <f>宝可梦!A113</f>
        <v/>
      </c>
      <c r="C70" s="29">
        <f>宝可梦!B113</f>
        <v/>
      </c>
      <c r="D70" s="29">
        <f>宝可梦!C113</f>
        <v/>
      </c>
      <c r="E70" s="29">
        <f>宝可梦!D113</f>
        <v/>
      </c>
      <c r="F70" s="29">
        <f>宝可梦!E113</f>
        <v/>
      </c>
      <c r="G70" s="29">
        <f>宝可梦!G113</f>
        <v/>
      </c>
      <c r="H70" s="29">
        <f>宝可梦!#REF!</f>
        <v/>
      </c>
    </row>
    <row r="71" ht="15.5" customHeight="1" s="59">
      <c r="A71" s="29" t="inlineStr">
        <is>
          <t>宝可梦</t>
        </is>
      </c>
      <c r="B71" s="29">
        <f>宝可梦!A114</f>
        <v/>
      </c>
      <c r="C71" s="29">
        <f>宝可梦!B114</f>
        <v/>
      </c>
      <c r="D71" s="29">
        <f>宝可梦!C114</f>
        <v/>
      </c>
      <c r="E71" s="29">
        <f>宝可梦!D114</f>
        <v/>
      </c>
      <c r="F71" s="29">
        <f>宝可梦!E114</f>
        <v/>
      </c>
      <c r="G71" s="29">
        <f>宝可梦!G114</f>
        <v/>
      </c>
      <c r="H71" s="29">
        <f>宝可梦!#REF!</f>
        <v/>
      </c>
    </row>
    <row r="72" ht="15.5" customHeight="1" s="59">
      <c r="A72" s="29" t="inlineStr">
        <is>
          <t>宝可梦</t>
        </is>
      </c>
      <c r="B72" s="29">
        <f>宝可梦!A115</f>
        <v/>
      </c>
      <c r="C72" s="29">
        <f>宝可梦!B115</f>
        <v/>
      </c>
      <c r="D72" s="29">
        <f>宝可梦!C115</f>
        <v/>
      </c>
      <c r="E72" s="29">
        <f>宝可梦!D115</f>
        <v/>
      </c>
      <c r="F72" s="29">
        <f>宝可梦!E115</f>
        <v/>
      </c>
      <c r="G72" s="29">
        <f>宝可梦!G115</f>
        <v/>
      </c>
      <c r="H72" s="29">
        <f>宝可梦!#REF!</f>
        <v/>
      </c>
    </row>
    <row r="73" ht="15.5" customHeight="1" s="59">
      <c r="A73" s="29" t="inlineStr">
        <is>
          <t>宝可梦</t>
        </is>
      </c>
      <c r="B73" s="29">
        <f>宝可梦!A116</f>
        <v/>
      </c>
      <c r="C73" s="29">
        <f>宝可梦!B116</f>
        <v/>
      </c>
      <c r="D73" s="29">
        <f>宝可梦!C116</f>
        <v/>
      </c>
      <c r="E73" s="29">
        <f>宝可梦!D116</f>
        <v/>
      </c>
      <c r="F73" s="29">
        <f>宝可梦!E116</f>
        <v/>
      </c>
      <c r="G73" s="29">
        <f>宝可梦!G116</f>
        <v/>
      </c>
      <c r="H73" s="29">
        <f>宝可梦!#REF!</f>
        <v/>
      </c>
    </row>
    <row r="74" ht="15.5" customHeight="1" s="59">
      <c r="A74" s="29" t="inlineStr">
        <is>
          <t>海贼王</t>
        </is>
      </c>
      <c r="B74" s="29">
        <f>海贼王!A5</f>
        <v/>
      </c>
      <c r="C74" s="29">
        <f>海贼王!B5</f>
        <v/>
      </c>
      <c r="D74" s="29">
        <f>海贼王!C5</f>
        <v/>
      </c>
      <c r="E74" s="29">
        <f>海贼王!D5</f>
        <v/>
      </c>
      <c r="F74" s="29">
        <f>海贼王!E5</f>
        <v/>
      </c>
      <c r="G74" s="29">
        <f>海贼王!G5</f>
        <v/>
      </c>
      <c r="H74" s="29">
        <f>海贼王!#REF!</f>
        <v/>
      </c>
    </row>
    <row r="75" ht="15.5" customHeight="1" s="59">
      <c r="A75" s="29" t="inlineStr">
        <is>
          <t>海贼王</t>
        </is>
      </c>
      <c r="B75" s="29">
        <f>海贼王!A6</f>
        <v/>
      </c>
      <c r="C75" s="29">
        <f>海贼王!B6</f>
        <v/>
      </c>
      <c r="D75" s="29">
        <f>海贼王!C6</f>
        <v/>
      </c>
      <c r="E75" s="29">
        <f>海贼王!D6</f>
        <v/>
      </c>
      <c r="F75" s="29">
        <f>海贼王!E6</f>
        <v/>
      </c>
      <c r="G75" s="29">
        <f>海贼王!G6</f>
        <v/>
      </c>
      <c r="H75" s="29">
        <f>海贼王!#REF!</f>
        <v/>
      </c>
    </row>
    <row r="76" ht="15.5" customHeight="1" s="59">
      <c r="A76" s="29" t="inlineStr">
        <is>
          <t>海贼王</t>
        </is>
      </c>
      <c r="B76" s="29">
        <f>海贼王!A7</f>
        <v/>
      </c>
      <c r="C76" s="29">
        <f>海贼王!B7</f>
        <v/>
      </c>
      <c r="D76" s="29">
        <f>海贼王!C7</f>
        <v/>
      </c>
      <c r="E76" s="29">
        <f>海贼王!D7</f>
        <v/>
      </c>
      <c r="F76" s="29">
        <f>海贼王!E7</f>
        <v/>
      </c>
      <c r="G76" s="29">
        <f>海贼王!G7</f>
        <v/>
      </c>
      <c r="H76" s="29">
        <f>海贼王!#REF!</f>
        <v/>
      </c>
    </row>
    <row r="77" ht="15.5" customHeight="1" s="59">
      <c r="A77" s="29" t="inlineStr">
        <is>
          <t>海贼王</t>
        </is>
      </c>
      <c r="B77" s="29">
        <f>海贼王!A8</f>
        <v/>
      </c>
      <c r="C77" s="29">
        <f>海贼王!B8</f>
        <v/>
      </c>
      <c r="D77" s="29">
        <f>海贼王!C8</f>
        <v/>
      </c>
      <c r="E77" s="29">
        <f>海贼王!D8</f>
        <v/>
      </c>
      <c r="F77" s="29">
        <f>海贼王!E8</f>
        <v/>
      </c>
      <c r="G77" s="29">
        <f>海贼王!G8</f>
        <v/>
      </c>
      <c r="H77" s="29">
        <f>海贼王!#REF!</f>
        <v/>
      </c>
    </row>
    <row r="78" ht="15.5" customHeight="1" s="59">
      <c r="A78" s="29" t="inlineStr">
        <is>
          <t>海贼王</t>
        </is>
      </c>
      <c r="B78" s="29">
        <f>海贼王!A9</f>
        <v/>
      </c>
      <c r="C78" s="29">
        <f>海贼王!B9</f>
        <v/>
      </c>
      <c r="D78" s="29">
        <f>海贼王!C9</f>
        <v/>
      </c>
      <c r="E78" s="29">
        <f>海贼王!D9</f>
        <v/>
      </c>
      <c r="F78" s="29">
        <f>海贼王!E9</f>
        <v/>
      </c>
      <c r="G78" s="29">
        <f>海贼王!G9</f>
        <v/>
      </c>
      <c r="H78" s="29">
        <f>海贼王!#REF!</f>
        <v/>
      </c>
    </row>
    <row r="79" ht="15.5" customHeight="1" s="59">
      <c r="A79" s="29" t="inlineStr">
        <is>
          <t>海贼王</t>
        </is>
      </c>
      <c r="B79" s="29">
        <f>海贼王!A10</f>
        <v/>
      </c>
      <c r="C79" s="29">
        <f>海贼王!B10</f>
        <v/>
      </c>
      <c r="D79" s="29">
        <f>海贼王!C10</f>
        <v/>
      </c>
      <c r="E79" s="29">
        <f>海贼王!D10</f>
        <v/>
      </c>
      <c r="F79" s="29">
        <f>海贼王!E10</f>
        <v/>
      </c>
      <c r="G79" s="29">
        <f>海贼王!G10</f>
        <v/>
      </c>
      <c r="H79" s="29">
        <f>海贼王!#REF!</f>
        <v/>
      </c>
    </row>
    <row r="80" ht="15.5" customHeight="1" s="59">
      <c r="A80" s="29" t="inlineStr">
        <is>
          <t>海贼王</t>
        </is>
      </c>
      <c r="B80" s="29">
        <f>海贼王!A11</f>
        <v/>
      </c>
      <c r="C80" s="29">
        <f>海贼王!B11</f>
        <v/>
      </c>
      <c r="D80" s="29">
        <f>海贼王!C11</f>
        <v/>
      </c>
      <c r="E80" s="29">
        <f>海贼王!D11</f>
        <v/>
      </c>
      <c r="F80" s="29">
        <f>海贼王!E11</f>
        <v/>
      </c>
      <c r="G80" s="29">
        <f>海贼王!G11</f>
        <v/>
      </c>
      <c r="H80" s="29">
        <f>海贼王!#REF!</f>
        <v/>
      </c>
    </row>
    <row r="81" ht="15.5" customHeight="1" s="59">
      <c r="A81" s="29" t="inlineStr">
        <is>
          <t>海贼王</t>
        </is>
      </c>
      <c r="B81" s="29">
        <f>海贼王!A12</f>
        <v/>
      </c>
      <c r="C81" s="29">
        <f>海贼王!B12</f>
        <v/>
      </c>
      <c r="D81" s="29">
        <f>海贼王!C12</f>
        <v/>
      </c>
      <c r="E81" s="29">
        <f>海贼王!D12</f>
        <v/>
      </c>
      <c r="F81" s="29">
        <f>海贼王!E12</f>
        <v/>
      </c>
      <c r="G81" s="29">
        <f>海贼王!G12</f>
        <v/>
      </c>
      <c r="H81" s="29">
        <f>海贼王!#REF!</f>
        <v/>
      </c>
    </row>
    <row r="82" ht="15.5" customHeight="1" s="59">
      <c r="A82" s="29" t="inlineStr">
        <is>
          <t>海贼王</t>
        </is>
      </c>
      <c r="B82" s="29">
        <f>海贼王!A13</f>
        <v/>
      </c>
      <c r="C82" s="29">
        <f>海贼王!B13</f>
        <v/>
      </c>
      <c r="D82" s="29">
        <f>海贼王!C13</f>
        <v/>
      </c>
      <c r="E82" s="29">
        <f>海贼王!D13</f>
        <v/>
      </c>
      <c r="F82" s="29">
        <f>海贼王!E13</f>
        <v/>
      </c>
      <c r="G82" s="29">
        <f>海贼王!G13</f>
        <v/>
      </c>
      <c r="H82" s="29">
        <f>海贼王!#REF!</f>
        <v/>
      </c>
    </row>
    <row r="83" ht="15.5" customHeight="1" s="59">
      <c r="A83" s="29" t="inlineStr">
        <is>
          <t>海贼王</t>
        </is>
      </c>
      <c r="B83" s="29">
        <f>海贼王!A14</f>
        <v/>
      </c>
      <c r="C83" s="29">
        <f>海贼王!B14</f>
        <v/>
      </c>
      <c r="D83" s="29">
        <f>海贼王!C14</f>
        <v/>
      </c>
      <c r="E83" s="29">
        <f>海贼王!D14</f>
        <v/>
      </c>
      <c r="F83" s="29">
        <f>海贼王!E14</f>
        <v/>
      </c>
      <c r="G83" s="29">
        <f>海贼王!G14</f>
        <v/>
      </c>
      <c r="H83" s="29">
        <f>海贼王!#REF!</f>
        <v/>
      </c>
    </row>
    <row r="84" ht="15.5" customHeight="1" s="59">
      <c r="A84" s="29" t="inlineStr">
        <is>
          <t>海贼王</t>
        </is>
      </c>
      <c r="B84" s="29">
        <f>海贼王!A15</f>
        <v/>
      </c>
      <c r="C84" s="29">
        <f>海贼王!B15</f>
        <v/>
      </c>
      <c r="D84" s="29">
        <f>海贼王!C15</f>
        <v/>
      </c>
      <c r="E84" s="29">
        <f>海贼王!D15</f>
        <v/>
      </c>
      <c r="F84" s="29">
        <f>海贼王!E15</f>
        <v/>
      </c>
      <c r="G84" s="29">
        <f>海贼王!G15</f>
        <v/>
      </c>
      <c r="H84" s="29">
        <f>海贼王!#REF!</f>
        <v/>
      </c>
    </row>
    <row r="85" ht="15.5" customHeight="1" s="59">
      <c r="A85" s="29" t="inlineStr">
        <is>
          <t>海贼王</t>
        </is>
      </c>
      <c r="B85" s="29">
        <f>海贼王!A16</f>
        <v/>
      </c>
      <c r="C85" s="29">
        <f>海贼王!B16</f>
        <v/>
      </c>
      <c r="D85" s="29">
        <f>海贼王!C16</f>
        <v/>
      </c>
      <c r="E85" s="29">
        <f>海贼王!D16</f>
        <v/>
      </c>
      <c r="F85" s="29">
        <f>海贼王!E16</f>
        <v/>
      </c>
      <c r="G85" s="29">
        <f>海贼王!G16</f>
        <v/>
      </c>
      <c r="H85" s="29">
        <f>海贼王!#REF!</f>
        <v/>
      </c>
    </row>
    <row r="86" ht="15.5" customHeight="1" s="59">
      <c r="A86" s="29" t="inlineStr">
        <is>
          <t>海贼王</t>
        </is>
      </c>
      <c r="B86" s="29">
        <f>海贼王!A17</f>
        <v/>
      </c>
      <c r="C86" s="29">
        <f>海贼王!B17</f>
        <v/>
      </c>
      <c r="D86" s="29">
        <f>海贼王!C17</f>
        <v/>
      </c>
      <c r="E86" s="29">
        <f>海贼王!D17</f>
        <v/>
      </c>
      <c r="F86" s="29">
        <f>海贼王!E17</f>
        <v/>
      </c>
      <c r="G86" s="29">
        <f>海贼王!G17</f>
        <v/>
      </c>
      <c r="H86" s="29">
        <f>海贼王!#REF!</f>
        <v/>
      </c>
    </row>
    <row r="87" ht="15.5" customHeight="1" s="59">
      <c r="A87" s="29" t="inlineStr">
        <is>
          <t>海贼王</t>
        </is>
      </c>
      <c r="B87" s="29">
        <f>海贼王!A18</f>
        <v/>
      </c>
      <c r="C87" s="29">
        <f>海贼王!B18</f>
        <v/>
      </c>
      <c r="D87" s="29">
        <f>海贼王!C18</f>
        <v/>
      </c>
      <c r="E87" s="29">
        <f>海贼王!D18</f>
        <v/>
      </c>
      <c r="F87" s="29">
        <f>海贼王!E18</f>
        <v/>
      </c>
      <c r="G87" s="29">
        <f>海贼王!G18</f>
        <v/>
      </c>
      <c r="H87" s="29">
        <f>海贼王!#REF!</f>
        <v/>
      </c>
    </row>
    <row r="88" ht="15.5" customHeight="1" s="59">
      <c r="A88" s="29" t="inlineStr">
        <is>
          <t>海贼王</t>
        </is>
      </c>
      <c r="B88" s="29">
        <f>海贼王!A19</f>
        <v/>
      </c>
      <c r="C88" s="29">
        <f>海贼王!B19</f>
        <v/>
      </c>
      <c r="D88" s="29">
        <f>海贼王!C19</f>
        <v/>
      </c>
      <c r="E88" s="29">
        <f>海贼王!D19</f>
        <v/>
      </c>
      <c r="F88" s="29">
        <f>海贼王!E19</f>
        <v/>
      </c>
      <c r="G88" s="29">
        <f>海贼王!G19</f>
        <v/>
      </c>
      <c r="H88" s="29">
        <f>海贼王!#REF!</f>
        <v/>
      </c>
    </row>
    <row r="89" ht="15.5" customHeight="1" s="59">
      <c r="A89" s="29" t="inlineStr">
        <is>
          <t>海贼王</t>
        </is>
      </c>
      <c r="B89" s="29">
        <f>海贼王!A20</f>
        <v/>
      </c>
      <c r="C89" s="29">
        <f>海贼王!B20</f>
        <v/>
      </c>
      <c r="D89" s="29">
        <f>海贼王!C20</f>
        <v/>
      </c>
      <c r="E89" s="29">
        <f>海贼王!D20</f>
        <v/>
      </c>
      <c r="F89" s="29">
        <f>海贼王!E20</f>
        <v/>
      </c>
      <c r="G89" s="29">
        <f>海贼王!G20</f>
        <v/>
      </c>
      <c r="H89" s="29">
        <f>海贼王!#REF!</f>
        <v/>
      </c>
    </row>
    <row r="90" ht="15.5" customHeight="1" s="59">
      <c r="A90" s="29" t="inlineStr">
        <is>
          <t>海贼王</t>
        </is>
      </c>
      <c r="B90" s="29">
        <f>海贼王!A23</f>
        <v/>
      </c>
      <c r="C90" s="29">
        <f>海贼王!B23</f>
        <v/>
      </c>
      <c r="D90" s="29">
        <f>海贼王!C23</f>
        <v/>
      </c>
      <c r="E90" s="29">
        <f>海贼王!D23</f>
        <v/>
      </c>
      <c r="F90" s="29">
        <f>海贼王!E23</f>
        <v/>
      </c>
      <c r="G90" s="29">
        <f>海贼王!G23</f>
        <v/>
      </c>
      <c r="H90" s="29">
        <f>海贼王!#REF!</f>
        <v/>
      </c>
    </row>
    <row r="91" ht="15.5" customHeight="1" s="59">
      <c r="A91" s="29" t="inlineStr">
        <is>
          <t>海贼王</t>
        </is>
      </c>
      <c r="B91" s="29">
        <f>海贼王!A24</f>
        <v/>
      </c>
      <c r="C91" s="29">
        <f>海贼王!B24</f>
        <v/>
      </c>
      <c r="D91" s="29">
        <f>海贼王!C24</f>
        <v/>
      </c>
      <c r="E91" s="29">
        <f>海贼王!D24</f>
        <v/>
      </c>
      <c r="F91" s="29">
        <f>海贼王!E24</f>
        <v/>
      </c>
      <c r="G91" s="29">
        <f>海贼王!G24</f>
        <v/>
      </c>
      <c r="H91" s="29">
        <f>海贼王!#REF!</f>
        <v/>
      </c>
    </row>
    <row r="92" ht="15.5" customHeight="1" s="59">
      <c r="A92" s="29" t="inlineStr">
        <is>
          <t>海贼王</t>
        </is>
      </c>
      <c r="B92" s="29">
        <f>海贼王!A25</f>
        <v/>
      </c>
      <c r="C92" s="29">
        <f>海贼王!B25</f>
        <v/>
      </c>
      <c r="D92" s="29">
        <f>海贼王!C25</f>
        <v/>
      </c>
      <c r="E92" s="29">
        <f>海贼王!D25</f>
        <v/>
      </c>
      <c r="F92" s="29">
        <f>海贼王!E25</f>
        <v/>
      </c>
      <c r="G92" s="29">
        <f>海贼王!G25</f>
        <v/>
      </c>
      <c r="H92" s="29">
        <f>海贼王!#REF!</f>
        <v/>
      </c>
    </row>
    <row r="93" ht="15.5" customHeight="1" s="59">
      <c r="A93" s="29" t="inlineStr">
        <is>
          <t>海贼王</t>
        </is>
      </c>
      <c r="B93" s="29">
        <f>海贼王!A26</f>
        <v/>
      </c>
      <c r="C93" s="29">
        <f>海贼王!B26</f>
        <v/>
      </c>
      <c r="D93" s="29">
        <f>海贼王!C26</f>
        <v/>
      </c>
      <c r="E93" s="29">
        <f>海贼王!D26</f>
        <v/>
      </c>
      <c r="F93" s="29">
        <f>海贼王!E26</f>
        <v/>
      </c>
      <c r="G93" s="29">
        <f>海贼王!G26</f>
        <v/>
      </c>
      <c r="H93" s="29">
        <f>海贼王!#REF!</f>
        <v/>
      </c>
    </row>
    <row r="94" ht="15.5" customHeight="1" s="59">
      <c r="A94" s="29" t="inlineStr">
        <is>
          <t>海贼王</t>
        </is>
      </c>
      <c r="B94" s="29">
        <f>海贼王!A29</f>
        <v/>
      </c>
      <c r="C94" s="29">
        <f>海贼王!B29</f>
        <v/>
      </c>
      <c r="D94" s="29">
        <f>海贼王!C29</f>
        <v/>
      </c>
      <c r="E94" s="29">
        <f>海贼王!D29</f>
        <v/>
      </c>
      <c r="F94" s="29">
        <f>海贼王!E29</f>
        <v/>
      </c>
      <c r="G94" s="29">
        <f>海贼王!G29</f>
        <v/>
      </c>
      <c r="H94" s="29">
        <f>海贼王!#REF!</f>
        <v/>
      </c>
    </row>
    <row r="95" ht="15.5" customHeight="1" s="59">
      <c r="A95" s="29" t="inlineStr">
        <is>
          <t>海贼王</t>
        </is>
      </c>
      <c r="B95" s="29">
        <f>海贼王!A30</f>
        <v/>
      </c>
      <c r="C95" s="29">
        <f>海贼王!B30</f>
        <v/>
      </c>
      <c r="D95" s="29">
        <f>海贼王!C30</f>
        <v/>
      </c>
      <c r="E95" s="29">
        <f>海贼王!D30</f>
        <v/>
      </c>
      <c r="F95" s="29">
        <f>海贼王!E30</f>
        <v/>
      </c>
      <c r="G95" s="29">
        <f>海贼王!G30</f>
        <v/>
      </c>
      <c r="H95" s="29">
        <f>海贼王!#REF!</f>
        <v/>
      </c>
    </row>
    <row r="96" ht="15.5" customHeight="1" s="59">
      <c r="A96" s="29" t="inlineStr">
        <is>
          <t>海贼王</t>
        </is>
      </c>
      <c r="B96" s="29">
        <f>海贼王!A33</f>
        <v/>
      </c>
      <c r="C96" s="29">
        <f>海贼王!B33</f>
        <v/>
      </c>
      <c r="D96" s="29">
        <f>海贼王!C33</f>
        <v/>
      </c>
      <c r="E96" s="29">
        <f>海贼王!D33</f>
        <v/>
      </c>
      <c r="F96" s="29">
        <f>海贼王!E33</f>
        <v/>
      </c>
      <c r="G96" s="29">
        <f>海贼王!G33</f>
        <v/>
      </c>
      <c r="H96" s="29">
        <f>海贼王!#REF!</f>
        <v/>
      </c>
    </row>
    <row r="97" ht="15.5" customHeight="1" s="59">
      <c r="A97" s="29" t="inlineStr">
        <is>
          <t>海贼王</t>
        </is>
      </c>
      <c r="B97" s="29">
        <f>海贼王!A34</f>
        <v/>
      </c>
      <c r="C97" s="29">
        <f>海贼王!B34</f>
        <v/>
      </c>
      <c r="D97" s="29">
        <f>海贼王!C34</f>
        <v/>
      </c>
      <c r="E97" s="29">
        <f>海贼王!D34</f>
        <v/>
      </c>
      <c r="F97" s="29">
        <f>海贼王!E34</f>
        <v/>
      </c>
      <c r="G97" s="29">
        <f>海贼王!G34</f>
        <v/>
      </c>
      <c r="H97" s="29">
        <f>海贼王!#REF!</f>
        <v/>
      </c>
    </row>
    <row r="98" ht="15.5" customHeight="1" s="59">
      <c r="A98" s="29" t="inlineStr">
        <is>
          <t>海贼王</t>
        </is>
      </c>
      <c r="B98" s="29">
        <f>海贼王!A35</f>
        <v/>
      </c>
      <c r="C98" s="29">
        <f>海贼王!B35</f>
        <v/>
      </c>
      <c r="D98" s="29">
        <f>海贼王!C35</f>
        <v/>
      </c>
      <c r="E98" s="29">
        <f>海贼王!D35</f>
        <v/>
      </c>
      <c r="F98" s="29">
        <f>海贼王!E35</f>
        <v/>
      </c>
      <c r="G98" s="29">
        <f>海贼王!G35</f>
        <v/>
      </c>
      <c r="H98" s="29">
        <f>海贼王!#REF!</f>
        <v/>
      </c>
    </row>
    <row r="99" ht="15.5" customHeight="1" s="59">
      <c r="A99" s="29" t="inlineStr">
        <is>
          <t>海贼王</t>
        </is>
      </c>
      <c r="B99" s="29">
        <f>海贼王!A36</f>
        <v/>
      </c>
      <c r="C99" s="29">
        <f>海贼王!B36</f>
        <v/>
      </c>
      <c r="D99" s="29">
        <f>海贼王!C36</f>
        <v/>
      </c>
      <c r="E99" s="29">
        <f>海贼王!D36</f>
        <v/>
      </c>
      <c r="F99" s="29">
        <f>海贼王!E36</f>
        <v/>
      </c>
      <c r="G99" s="29">
        <f>海贼王!G36</f>
        <v/>
      </c>
      <c r="H99" s="29">
        <f>海贼王!#REF!</f>
        <v/>
      </c>
    </row>
    <row r="100" ht="15.5" customHeight="1" s="59">
      <c r="A100" s="29" t="inlineStr">
        <is>
          <t>海贼王</t>
        </is>
      </c>
      <c r="B100" s="29">
        <f>海贼王!A37</f>
        <v/>
      </c>
      <c r="C100" s="29">
        <f>海贼王!B37</f>
        <v/>
      </c>
      <c r="D100" s="29">
        <f>海贼王!C37</f>
        <v/>
      </c>
      <c r="E100" s="29">
        <f>海贼王!D37</f>
        <v/>
      </c>
      <c r="F100" s="29">
        <f>海贼王!E37</f>
        <v/>
      </c>
      <c r="G100" s="29">
        <f>海贼王!G37</f>
        <v/>
      </c>
      <c r="H100" s="29">
        <f>海贼王!#REF!</f>
        <v/>
      </c>
    </row>
    <row r="101" ht="15.5" customHeight="1" s="59">
      <c r="A101" s="29" t="inlineStr">
        <is>
          <t>海贼王</t>
        </is>
      </c>
      <c r="B101" s="29">
        <f>海贼王!A38</f>
        <v/>
      </c>
      <c r="C101" s="29">
        <f>海贼王!B38</f>
        <v/>
      </c>
      <c r="D101" s="29">
        <f>海贼王!C38</f>
        <v/>
      </c>
      <c r="E101" s="29">
        <f>海贼王!D38</f>
        <v/>
      </c>
      <c r="F101" s="29">
        <f>海贼王!E38</f>
        <v/>
      </c>
      <c r="G101" s="29">
        <f>海贼王!G38</f>
        <v/>
      </c>
      <c r="H101" s="29">
        <f>海贼王!#REF!</f>
        <v/>
      </c>
    </row>
    <row r="102" ht="15.5" customHeight="1" s="59">
      <c r="A102" s="29" t="inlineStr">
        <is>
          <t>海贼王</t>
        </is>
      </c>
      <c r="B102" s="29">
        <f>海贼王!A39</f>
        <v/>
      </c>
      <c r="C102" s="29">
        <f>海贼王!B39</f>
        <v/>
      </c>
      <c r="D102" s="29">
        <f>海贼王!C39</f>
        <v/>
      </c>
      <c r="E102" s="29">
        <f>海贼王!D39</f>
        <v/>
      </c>
      <c r="F102" s="29">
        <f>海贼王!E39</f>
        <v/>
      </c>
      <c r="G102" s="29">
        <f>海贼王!G39</f>
        <v/>
      </c>
      <c r="H102" s="29">
        <f>海贼王!#REF!</f>
        <v/>
      </c>
    </row>
    <row r="103" ht="15.5" customHeight="1" s="59">
      <c r="A103" s="29" t="inlineStr">
        <is>
          <t>海贼王</t>
        </is>
      </c>
      <c r="B103" s="29">
        <f>海贼王!A40</f>
        <v/>
      </c>
      <c r="C103" s="29">
        <f>海贼王!B40</f>
        <v/>
      </c>
      <c r="D103" s="29">
        <f>海贼王!C40</f>
        <v/>
      </c>
      <c r="E103" s="29">
        <f>海贼王!D40</f>
        <v/>
      </c>
      <c r="F103" s="29">
        <f>海贼王!E40</f>
        <v/>
      </c>
      <c r="G103" s="29">
        <f>海贼王!G40</f>
        <v/>
      </c>
      <c r="H103" s="29">
        <f>海贼王!#REF!</f>
        <v/>
      </c>
    </row>
    <row r="104" ht="15.5" customHeight="1" s="59">
      <c r="A104" s="29" t="inlineStr">
        <is>
          <t>海贼王</t>
        </is>
      </c>
      <c r="B104" s="29">
        <f>海贼王!A41</f>
        <v/>
      </c>
      <c r="C104" s="29">
        <f>海贼王!B41</f>
        <v/>
      </c>
      <c r="D104" s="29">
        <f>海贼王!C41</f>
        <v/>
      </c>
      <c r="E104" s="29">
        <f>海贼王!D41</f>
        <v/>
      </c>
      <c r="F104" s="29">
        <f>海贼王!E41</f>
        <v/>
      </c>
      <c r="G104" s="29">
        <f>海贼王!G41</f>
        <v/>
      </c>
      <c r="H104" s="29">
        <f>海贼王!#REF!</f>
        <v/>
      </c>
    </row>
    <row r="105" ht="15.5" customHeight="1" s="59">
      <c r="A105" s="29" t="inlineStr">
        <is>
          <t>海贼王</t>
        </is>
      </c>
      <c r="B105" s="29">
        <f>海贼王!A42</f>
        <v/>
      </c>
      <c r="C105" s="29">
        <f>海贼王!B42</f>
        <v/>
      </c>
      <c r="D105" s="29">
        <f>海贼王!C42</f>
        <v/>
      </c>
      <c r="E105" s="29">
        <f>海贼王!D42</f>
        <v/>
      </c>
      <c r="F105" s="29">
        <f>海贼王!E42</f>
        <v/>
      </c>
      <c r="G105" s="29">
        <f>海贼王!G42</f>
        <v/>
      </c>
      <c r="H105" s="29">
        <f>海贼王!#REF!</f>
        <v/>
      </c>
    </row>
    <row r="106" ht="15.5" customHeight="1" s="59">
      <c r="A106" s="29" t="inlineStr">
        <is>
          <t>海贼王</t>
        </is>
      </c>
      <c r="B106" s="29">
        <f>海贼王!A43</f>
        <v/>
      </c>
      <c r="C106" s="29">
        <f>海贼王!B43</f>
        <v/>
      </c>
      <c r="D106" s="29">
        <f>海贼王!C43</f>
        <v/>
      </c>
      <c r="E106" s="29">
        <f>海贼王!D43</f>
        <v/>
      </c>
      <c r="F106" s="29">
        <f>海贼王!E43</f>
        <v/>
      </c>
      <c r="G106" s="29">
        <f>海贼王!G43</f>
        <v/>
      </c>
      <c r="H106" s="29">
        <f>海贼王!#REF!</f>
        <v/>
      </c>
    </row>
    <row r="107" ht="15.5" customHeight="1" s="59">
      <c r="A107" s="29" t="inlineStr">
        <is>
          <t>海贼王</t>
        </is>
      </c>
      <c r="B107" s="29">
        <f>海贼王!A44</f>
        <v/>
      </c>
      <c r="C107" s="29">
        <f>海贼王!B44</f>
        <v/>
      </c>
      <c r="D107" s="29">
        <f>海贼王!C44</f>
        <v/>
      </c>
      <c r="E107" s="29">
        <f>海贼王!D44</f>
        <v/>
      </c>
      <c r="F107" s="29">
        <f>海贼王!E44</f>
        <v/>
      </c>
      <c r="G107" s="29">
        <f>海贼王!G44</f>
        <v/>
      </c>
      <c r="H107" s="29">
        <f>海贼王!#REF!</f>
        <v/>
      </c>
    </row>
    <row r="108" ht="15.5" customHeight="1" s="59">
      <c r="A108" s="29" t="inlineStr">
        <is>
          <t>海贼王</t>
        </is>
      </c>
      <c r="B108" s="29">
        <f>海贼王!A45</f>
        <v/>
      </c>
      <c r="C108" s="29">
        <f>海贼王!B45</f>
        <v/>
      </c>
      <c r="D108" s="29">
        <f>海贼王!C45</f>
        <v/>
      </c>
      <c r="E108" s="29">
        <f>海贼王!D45</f>
        <v/>
      </c>
      <c r="F108" s="29">
        <f>海贼王!E45</f>
        <v/>
      </c>
      <c r="G108" s="29">
        <f>海贼王!G45</f>
        <v/>
      </c>
      <c r="H108" s="29">
        <f>海贼王!#REF!</f>
        <v/>
      </c>
    </row>
    <row r="109" ht="15.5" customHeight="1" s="59">
      <c r="A109" s="29" t="inlineStr">
        <is>
          <t>海贼王</t>
        </is>
      </c>
      <c r="B109" s="29">
        <f>海贼王!A46</f>
        <v/>
      </c>
      <c r="C109" s="29">
        <f>海贼王!B46</f>
        <v/>
      </c>
      <c r="D109" s="29">
        <f>海贼王!C46</f>
        <v/>
      </c>
      <c r="E109" s="29">
        <f>海贼王!D46</f>
        <v/>
      </c>
      <c r="F109" s="29">
        <f>海贼王!E46</f>
        <v/>
      </c>
      <c r="G109" s="29">
        <f>海贼王!G46</f>
        <v/>
      </c>
      <c r="H109" s="29">
        <f>海贼王!#REF!</f>
        <v/>
      </c>
    </row>
    <row r="110" ht="15.5" customHeight="1" s="59">
      <c r="A110" s="29" t="inlineStr">
        <is>
          <t>海贼王</t>
        </is>
      </c>
      <c r="B110" s="29">
        <f>海贼王!A47</f>
        <v/>
      </c>
      <c r="C110" s="29">
        <f>海贼王!B47</f>
        <v/>
      </c>
      <c r="D110" s="29">
        <f>海贼王!C47</f>
        <v/>
      </c>
      <c r="E110" s="29">
        <f>海贼王!D47</f>
        <v/>
      </c>
      <c r="F110" s="29">
        <f>海贼王!E47</f>
        <v/>
      </c>
      <c r="G110" s="29">
        <f>海贼王!G47</f>
        <v/>
      </c>
      <c r="H110" s="29">
        <f>海贼王!#REF!</f>
        <v/>
      </c>
    </row>
    <row r="111" ht="15.5" customHeight="1" s="59">
      <c r="A111" s="29" t="inlineStr">
        <is>
          <t>海贼王</t>
        </is>
      </c>
      <c r="B111" s="29">
        <f>海贼王!A48</f>
        <v/>
      </c>
      <c r="C111" s="29">
        <f>海贼王!B48</f>
        <v/>
      </c>
      <c r="D111" s="29">
        <f>海贼王!C48</f>
        <v/>
      </c>
      <c r="E111" s="29">
        <f>海贼王!D48</f>
        <v/>
      </c>
      <c r="F111" s="29">
        <f>海贼王!E48</f>
        <v/>
      </c>
      <c r="G111" s="29">
        <f>海贼王!G48</f>
        <v/>
      </c>
      <c r="H111" s="29">
        <f>海贼王!#REF!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J1" workbookViewId="0">
      <selection activeCell="A1" sqref="A1:H1"/>
    </sheetView>
  </sheetViews>
  <sheetFormatPr baseColWidth="8" defaultColWidth="9" defaultRowHeight="14"/>
  <sheetData>
    <row r="1">
      <c r="A1" t="inlineStr">
        <is>
          <t>销售状态</t>
        </is>
      </c>
      <c r="B1" t="inlineStr">
        <is>
          <t>商品名</t>
        </is>
      </c>
      <c r="C1" t="inlineStr">
        <is>
          <t>系列</t>
        </is>
      </c>
      <c r="D1" t="inlineStr">
        <is>
          <t>盒型</t>
        </is>
      </c>
      <c r="E1" t="inlineStr">
        <is>
          <t>网站状态</t>
        </is>
      </c>
      <c r="F1" t="inlineStr">
        <is>
          <t>库存</t>
        </is>
      </c>
      <c r="G1" t="inlineStr">
        <is>
          <t>销售价(JPY)</t>
        </is>
      </c>
      <c r="H1" t="inlineStr">
        <is>
          <t>Obsidian状态</t>
        </is>
      </c>
      <c r="I1" t="inlineStr">
        <is>
          <t>来源</t>
        </is>
      </c>
      <c r="J1" t="inlineStr">
        <is>
          <t>备注</t>
        </is>
      </c>
    </row>
    <row r="2">
      <c r="A2" t="inlineStr">
        <is>
          <t>售罄</t>
        </is>
      </c>
      <c r="B2" t="inlineStr">
        <is>
          <t>宝石包第二弹 BOX（简中）</t>
        </is>
      </c>
      <c r="C2" t="inlineStr">
        <is>
          <t>宝石包</t>
        </is>
      </c>
      <c r="D2" t="inlineStr">
        <is>
          <t>宝石包</t>
        </is>
      </c>
      <c r="E2" t="inlineStr">
        <is>
          <t>上架</t>
        </is>
      </c>
      <c r="F2" t="n">
        <v>0</v>
      </c>
      <c r="G2" t="n">
        <v>8500</v>
      </c>
      <c r="I2" t="inlineStr">
        <is>
          <t>网站公开商品页 + Obsidian</t>
        </is>
      </c>
      <c r="J2" t="inlineStr">
        <is>
          <t>简中宝可梦 宝石包 第二弹（CBB2C）原盒，2025年5月16日发售，每盒15包，每包4张全闪。</t>
        </is>
      </c>
    </row>
    <row r="3">
      <c r="A3" t="inlineStr">
        <is>
          <t>售罄</t>
        </is>
      </c>
      <c r="B3" t="inlineStr">
        <is>
          <t>宝石包第三弹 BOX（简中）</t>
        </is>
      </c>
      <c r="C3" t="inlineStr">
        <is>
          <t>宝石包</t>
        </is>
      </c>
      <c r="D3" t="inlineStr">
        <is>
          <t>宝石包</t>
        </is>
      </c>
      <c r="E3" t="inlineStr">
        <is>
          <t>上架</t>
        </is>
      </c>
      <c r="F3" t="n">
        <v>0</v>
      </c>
      <c r="G3" t="n">
        <v>8000</v>
      </c>
      <c r="I3" t="inlineStr">
        <is>
          <t>网站公开商品页 + Obsidian</t>
        </is>
      </c>
      <c r="J3" t="inlineStr">
        <is>
          <t>简中宝可梦 宝石包 第三弹（CBB3C）原盒，2025年9月26日发售，每盒15包，每包4张全闪。</t>
        </is>
      </c>
    </row>
    <row r="4">
      <c r="A4" t="inlineStr">
        <is>
          <t>售罄</t>
        </is>
      </c>
      <c r="B4" t="inlineStr">
        <is>
          <t>宝石包第四弹 BOX（简中）</t>
        </is>
      </c>
      <c r="C4" t="inlineStr">
        <is>
          <t>宝石包</t>
        </is>
      </c>
      <c r="D4" t="inlineStr">
        <is>
          <t>宝石包</t>
        </is>
      </c>
      <c r="E4" t="inlineStr">
        <is>
          <t>上架</t>
        </is>
      </c>
      <c r="F4" t="n">
        <v>0</v>
      </c>
      <c r="G4" t="n">
        <v>7600</v>
      </c>
      <c r="I4" t="inlineStr">
        <is>
          <t>网站公开商品页 + Obsidian</t>
        </is>
      </c>
      <c r="J4" t="inlineStr">
        <is>
          <t>简中宝可梦 宝石包 第四弹（CBB4C）原盒，2026年2月6日发售，每盒15包，每包4张全闪。</t>
        </is>
      </c>
    </row>
    <row r="5">
      <c r="A5" t="inlineStr">
        <is>
          <t>售罄</t>
        </is>
      </c>
      <c r="B5" t="inlineStr">
        <is>
          <t>宝石包第一弹 BOX（简中）</t>
        </is>
      </c>
      <c r="C5" t="inlineStr">
        <is>
          <t>宝石包</t>
        </is>
      </c>
      <c r="D5" t="inlineStr">
        <is>
          <t>宝石包</t>
        </is>
      </c>
      <c r="E5" t="inlineStr">
        <is>
          <t>上架</t>
        </is>
      </c>
      <c r="F5" t="n">
        <v>0</v>
      </c>
      <c r="G5" t="n">
        <v>9000</v>
      </c>
      <c r="I5" t="inlineStr">
        <is>
          <t>网站公开商品页 + Obsidian</t>
        </is>
      </c>
      <c r="J5" t="inlineStr">
        <is>
          <t>简中宝可梦 宝石包 第一弹（CBB1C）原盒，2025年1月17日发售，每盒15包，每包4张全闪。</t>
        </is>
      </c>
    </row>
    <row r="6">
      <c r="A6" t="inlineStr">
        <is>
          <t>售罄</t>
        </is>
      </c>
      <c r="B6" t="inlineStr">
        <is>
          <t>极巨攻防 BOX（简中）</t>
        </is>
      </c>
      <c r="C6" t="inlineStr">
        <is>
          <t>剑&amp;盾 CS1.5</t>
        </is>
      </c>
      <c r="D6" t="inlineStr">
        <is>
          <t>瘦盒</t>
        </is>
      </c>
      <c r="E6" t="inlineStr">
        <is>
          <t>上架</t>
        </is>
      </c>
      <c r="F6" t="n">
        <v>0</v>
      </c>
      <c r="G6" t="n">
        <v>3800</v>
      </c>
      <c r="I6" t="inlineStr">
        <is>
          <t>网站公开商品页 + Obsidian</t>
        </is>
      </c>
      <c r="J6" t="inlineStr">
        <is>
          <t>简中宝可梦 剑&amp;盾 强化包 极巨攻防（CS1.5C），6张/包×20包/盒。</t>
        </is>
      </c>
    </row>
    <row r="7">
      <c r="A7" t="inlineStr">
        <is>
          <t>售罄</t>
        </is>
      </c>
      <c r="B7" t="inlineStr">
        <is>
          <t>极巨争锋 雷 BOX（简中）</t>
        </is>
      </c>
      <c r="C7" t="inlineStr">
        <is>
          <t>剑&amp;盾 CS1a</t>
        </is>
      </c>
      <c r="D7" t="inlineStr">
        <is>
          <t>肥盒</t>
        </is>
      </c>
      <c r="E7" t="inlineStr">
        <is>
          <t>上架</t>
        </is>
      </c>
      <c r="F7" t="n">
        <v>0</v>
      </c>
      <c r="G7" t="n">
        <v>4800</v>
      </c>
      <c r="I7" t="inlineStr">
        <is>
          <t>网站公开商品页 + Obsidian</t>
        </is>
      </c>
      <c r="J7" t="inlineStr">
        <is>
          <t>简中宝可梦 剑&amp;盾 极巨争锋 雷（CS1aC），2023年5月19日发售，5张/包×30包/盒。</t>
        </is>
      </c>
    </row>
    <row r="8">
      <c r="A8" t="inlineStr">
        <is>
          <t>售罄</t>
        </is>
      </c>
      <c r="B8" t="inlineStr">
        <is>
          <t>极巨争锋 焰 BOX（简中）</t>
        </is>
      </c>
      <c r="C8" t="inlineStr">
        <is>
          <t>剑&amp;盾 CS1b</t>
        </is>
      </c>
      <c r="D8" t="inlineStr">
        <is>
          <t>肥盒</t>
        </is>
      </c>
      <c r="E8" t="inlineStr">
        <is>
          <t>上架</t>
        </is>
      </c>
      <c r="F8" t="n">
        <v>0</v>
      </c>
      <c r="G8" t="n">
        <v>4800</v>
      </c>
      <c r="I8" t="inlineStr">
        <is>
          <t>网站公开商品页 + Obsidian</t>
        </is>
      </c>
      <c r="J8" t="inlineStr">
        <is>
          <t>简中宝可梦 剑&amp;盾 极巨争锋 焰（CS1bC），2023年5月19日发售，5张/包×30包/盒。</t>
        </is>
      </c>
    </row>
    <row r="9">
      <c r="A9" t="inlineStr">
        <is>
          <t>售罄</t>
        </is>
      </c>
      <c r="B9" t="inlineStr">
        <is>
          <t>璀璨反击 BOX（简中）</t>
        </is>
      </c>
      <c r="C9" t="inlineStr">
        <is>
          <t>剑&amp;盾 CS2.5</t>
        </is>
      </c>
      <c r="D9" t="inlineStr">
        <is>
          <t>瘦盒</t>
        </is>
      </c>
      <c r="E9" t="inlineStr">
        <is>
          <t>上架</t>
        </is>
      </c>
      <c r="F9" t="n">
        <v>0</v>
      </c>
      <c r="G9" t="n">
        <v>3800</v>
      </c>
      <c r="I9" t="inlineStr">
        <is>
          <t>网站公开商品页 + Obsidian</t>
        </is>
      </c>
      <c r="J9" t="inlineStr">
        <is>
          <t>简中宝可梦 剑&amp;盾 强化包 璀璨反击（CS2.5C），6张/包×20包/盒。</t>
        </is>
      </c>
    </row>
    <row r="10">
      <c r="A10" t="inlineStr">
        <is>
          <t>售罄</t>
        </is>
      </c>
      <c r="B10" t="inlineStr">
        <is>
          <t>浓墨重彩 黎 BOX（简中）</t>
        </is>
      </c>
      <c r="C10" t="inlineStr">
        <is>
          <t>剑&amp;盾 CS2a</t>
        </is>
      </c>
      <c r="D10" t="inlineStr">
        <is>
          <t>肥盒</t>
        </is>
      </c>
      <c r="E10" t="inlineStr">
        <is>
          <t>上架</t>
        </is>
      </c>
      <c r="F10" t="n">
        <v>0</v>
      </c>
      <c r="G10" t="n">
        <v>4800</v>
      </c>
      <c r="I10" t="inlineStr">
        <is>
          <t>网站公开商品页 + Obsidian</t>
        </is>
      </c>
      <c r="J10" t="inlineStr">
        <is>
          <t>简中宝可梦 剑&amp;盾 浓墨重彩 黎（CS2aC），2023年8月18日发售，5张/包×30包/盒。</t>
        </is>
      </c>
    </row>
    <row r="11">
      <c r="A11" t="inlineStr">
        <is>
          <t>售罄</t>
        </is>
      </c>
      <c r="B11" t="inlineStr">
        <is>
          <t>浓墨重彩 靛 BOX（简中）</t>
        </is>
      </c>
      <c r="C11" t="inlineStr">
        <is>
          <t>剑&amp;盾 CS2b</t>
        </is>
      </c>
      <c r="D11" t="inlineStr">
        <is>
          <t>肥盒</t>
        </is>
      </c>
      <c r="E11" t="inlineStr">
        <is>
          <t>上架</t>
        </is>
      </c>
      <c r="F11" t="n">
        <v>0</v>
      </c>
      <c r="G11" t="n">
        <v>4800</v>
      </c>
      <c r="I11" t="inlineStr">
        <is>
          <t>网站公开商品页 + Obsidian</t>
        </is>
      </c>
      <c r="J11" t="inlineStr">
        <is>
          <t>简中宝可梦 剑&amp;盾 浓墨重彩 靛（CS2bC），2023年8月18日发售，5张/包×30包/盒。</t>
        </is>
      </c>
    </row>
    <row r="12">
      <c r="A12" t="inlineStr">
        <is>
          <t>售罄</t>
        </is>
      </c>
      <c r="B12" t="inlineStr">
        <is>
          <t>怒炎灼天 BOX（简中）</t>
        </is>
      </c>
      <c r="C12" t="inlineStr">
        <is>
          <t>剑&amp;盾 CS3.5</t>
        </is>
      </c>
      <c r="D12" t="inlineStr">
        <is>
          <t>瘦盒</t>
        </is>
      </c>
      <c r="E12" t="inlineStr">
        <is>
          <t>上架</t>
        </is>
      </c>
      <c r="F12" t="n">
        <v>0</v>
      </c>
      <c r="G12" t="n">
        <v>3800</v>
      </c>
      <c r="I12" t="inlineStr">
        <is>
          <t>网站公开商品页 + Obsidian</t>
        </is>
      </c>
      <c r="J12" t="inlineStr">
        <is>
          <t>简中宝可梦 剑&amp;盾 强化包 怒炎灼天（CS3.5C），6张/包×20包/盒。</t>
        </is>
      </c>
    </row>
    <row r="13">
      <c r="A13" t="inlineStr">
        <is>
          <t>售罄</t>
        </is>
      </c>
      <c r="B13" t="inlineStr">
        <is>
          <t>洪荒演武 茂 BOX（简中）</t>
        </is>
      </c>
      <c r="C13" t="inlineStr">
        <is>
          <t>剑&amp;盾 CS3a</t>
        </is>
      </c>
      <c r="D13" t="inlineStr">
        <is>
          <t>肥盒</t>
        </is>
      </c>
      <c r="E13" t="inlineStr">
        <is>
          <t>上架</t>
        </is>
      </c>
      <c r="F13" t="n">
        <v>0</v>
      </c>
      <c r="G13" t="n">
        <v>5000</v>
      </c>
      <c r="I13" t="inlineStr">
        <is>
          <t>网站公开商品页 + Obsidian</t>
        </is>
      </c>
      <c r="J13" t="inlineStr">
        <is>
          <t>简中宝可梦 剑&amp;盾 洪荒演武 茂（CS3aC），2023年11月17日发售，5张/包×30包/盒。</t>
        </is>
      </c>
    </row>
    <row r="14">
      <c r="A14" t="inlineStr">
        <is>
          <t>售罄</t>
        </is>
      </c>
      <c r="B14" t="inlineStr">
        <is>
          <t>洪荒演武 激 BOX（简中）</t>
        </is>
      </c>
      <c r="C14" t="inlineStr">
        <is>
          <t>剑&amp;盾 CS3b</t>
        </is>
      </c>
      <c r="D14" t="inlineStr">
        <is>
          <t>肥盒</t>
        </is>
      </c>
      <c r="E14" t="inlineStr">
        <is>
          <t>上架</t>
        </is>
      </c>
      <c r="F14" t="n">
        <v>0</v>
      </c>
      <c r="G14" t="n">
        <v>5000</v>
      </c>
      <c r="I14" t="inlineStr">
        <is>
          <t>网站公开商品页 + Obsidian</t>
        </is>
      </c>
      <c r="J14" t="inlineStr">
        <is>
          <t>简中宝可梦 剑&amp;盾 洪荒演武 激（CS3bC），2023年11月17日发售，5张/包×30包/盒。</t>
        </is>
      </c>
    </row>
    <row r="15">
      <c r="A15" t="inlineStr">
        <is>
          <t>售罄</t>
        </is>
      </c>
      <c r="B15" t="inlineStr">
        <is>
          <t>终末炎舞 BOX（简中）</t>
        </is>
      </c>
      <c r="C15" t="inlineStr">
        <is>
          <t>剑&amp;盾 CS4.5</t>
        </is>
      </c>
      <c r="D15" t="inlineStr">
        <is>
          <t>瘦盒</t>
        </is>
      </c>
      <c r="E15" t="inlineStr">
        <is>
          <t>上架</t>
        </is>
      </c>
      <c r="F15" t="n">
        <v>0</v>
      </c>
      <c r="G15" t="n">
        <v>3800</v>
      </c>
      <c r="I15" t="inlineStr">
        <is>
          <t>网站公开商品页 + Obsidian</t>
        </is>
      </c>
      <c r="J15" t="inlineStr">
        <is>
          <t>简中宝可梦 剑&amp;盾 强化包 终末炎舞（CS4.5C），6张/包×20包/盒。</t>
        </is>
      </c>
    </row>
    <row r="16">
      <c r="A16" t="inlineStr">
        <is>
          <t>售罄</t>
        </is>
      </c>
      <c r="B16" t="inlineStr">
        <is>
          <t>九彩汇聚 朋 BOX（简中）</t>
        </is>
      </c>
      <c r="C16" t="inlineStr">
        <is>
          <t>剑&amp;盾 CS4a</t>
        </is>
      </c>
      <c r="D16" t="inlineStr">
        <is>
          <t>肥盒</t>
        </is>
      </c>
      <c r="E16" t="inlineStr">
        <is>
          <t>上架</t>
        </is>
      </c>
      <c r="F16" t="n">
        <v>0</v>
      </c>
      <c r="G16" t="n">
        <v>5200</v>
      </c>
      <c r="I16" t="inlineStr">
        <is>
          <t>网站公开商品页 + Obsidian</t>
        </is>
      </c>
      <c r="J16" t="inlineStr">
        <is>
          <t>简中宝可梦 剑&amp;盾 九彩汇聚 朋（CS4aC），2024年3月1日发售，5张/包×30包/盒。</t>
        </is>
      </c>
    </row>
    <row r="17">
      <c r="A17" t="inlineStr">
        <is>
          <t>售罄</t>
        </is>
      </c>
      <c r="B17" t="inlineStr">
        <is>
          <t>九彩汇聚 源 BOX（简中）</t>
        </is>
      </c>
      <c r="C17" t="inlineStr">
        <is>
          <t>剑&amp;盾 CS4b</t>
        </is>
      </c>
      <c r="D17" t="inlineStr">
        <is>
          <t>肥盒</t>
        </is>
      </c>
      <c r="E17" t="inlineStr">
        <is>
          <t>上架</t>
        </is>
      </c>
      <c r="F17" t="n">
        <v>0</v>
      </c>
      <c r="G17" t="n">
        <v>5200</v>
      </c>
      <c r="I17" t="inlineStr">
        <is>
          <t>网站公开商品页 + Obsidian</t>
        </is>
      </c>
      <c r="J17" t="inlineStr">
        <is>
          <t>简中宝可梦 剑&amp;盾 九彩汇聚 源（CS4bC），2024年3月1日发售，5张/包×30包/盒。</t>
        </is>
      </c>
    </row>
    <row r="18">
      <c r="A18" t="inlineStr">
        <is>
          <t>售罄</t>
        </is>
      </c>
      <c r="B18" t="inlineStr">
        <is>
          <t>暗影夺辉 BOX（简中）</t>
        </is>
      </c>
      <c r="C18" t="inlineStr">
        <is>
          <t>剑&amp;盾 CS5.5</t>
        </is>
      </c>
      <c r="D18" t="inlineStr">
        <is>
          <t>瘦盒</t>
        </is>
      </c>
      <c r="E18" t="inlineStr">
        <is>
          <t>上架</t>
        </is>
      </c>
      <c r="F18" t="n">
        <v>0</v>
      </c>
      <c r="G18" t="n">
        <v>3800</v>
      </c>
      <c r="I18" t="inlineStr">
        <is>
          <t>网站公开商品页 + Obsidian</t>
        </is>
      </c>
      <c r="J18" t="inlineStr">
        <is>
          <t>简中宝可梦 剑&amp;盾 强化包 暗影夺辉（CS5.5C），6张/包×20包/盒。</t>
        </is>
      </c>
    </row>
    <row r="19">
      <c r="A19" t="inlineStr">
        <is>
          <t>售罄</t>
        </is>
      </c>
      <c r="B19" t="inlineStr">
        <is>
          <t>勇魅群星 魅 BOX（简中）</t>
        </is>
      </c>
      <c r="C19" t="inlineStr">
        <is>
          <t>剑&amp;盾 CS5a</t>
        </is>
      </c>
      <c r="D19" t="inlineStr">
        <is>
          <t>肥盒</t>
        </is>
      </c>
      <c r="E19" t="inlineStr">
        <is>
          <t>上架</t>
        </is>
      </c>
      <c r="F19" t="n">
        <v>0</v>
      </c>
      <c r="G19" t="n">
        <v>5400</v>
      </c>
      <c r="I19" t="inlineStr">
        <is>
          <t>网站公开商品页 + Obsidian</t>
        </is>
      </c>
      <c r="J19" t="inlineStr">
        <is>
          <t>简中宝可梦 剑&amp;盾 勇魅群星 魅（CS5aC），2024年6月18日发售，5张/包×30包/盒。</t>
        </is>
      </c>
    </row>
    <row r="20">
      <c r="A20" t="inlineStr">
        <is>
          <t>售罄</t>
        </is>
      </c>
      <c r="B20" t="inlineStr">
        <is>
          <t>勇魅群星 勇 BOX（简中）</t>
        </is>
      </c>
      <c r="C20" t="inlineStr">
        <is>
          <t>剑&amp;盾 CS5b</t>
        </is>
      </c>
      <c r="D20" t="inlineStr">
        <is>
          <t>肥盒</t>
        </is>
      </c>
      <c r="E20" t="inlineStr">
        <is>
          <t>上架</t>
        </is>
      </c>
      <c r="F20" t="n">
        <v>0</v>
      </c>
      <c r="G20" t="n">
        <v>5400</v>
      </c>
      <c r="I20" t="inlineStr">
        <is>
          <t>网站公开商品页 + Obsidian</t>
        </is>
      </c>
      <c r="J20" t="inlineStr">
        <is>
          <t>简中宝可梦 剑&amp;盾 勇魅群星 勇（CS5bC），2024年6月18日发售，5张/包×30包/盒。</t>
        </is>
      </c>
    </row>
    <row r="21">
      <c r="A21" t="inlineStr">
        <is>
          <t>售罄</t>
        </is>
      </c>
      <c r="B21" t="inlineStr">
        <is>
          <t>胜象星引 BOX（简中）</t>
        </is>
      </c>
      <c r="C21" t="inlineStr">
        <is>
          <t>剑&amp;盾 CS6.5</t>
        </is>
      </c>
      <c r="D21" t="inlineStr">
        <is>
          <t>瘦盒</t>
        </is>
      </c>
      <c r="E21" t="inlineStr">
        <is>
          <t>上架</t>
        </is>
      </c>
      <c r="F21" t="n">
        <v>0</v>
      </c>
      <c r="G21" t="n">
        <v>3800</v>
      </c>
      <c r="I21" t="inlineStr">
        <is>
          <t>网站公开商品页 + Obsidian</t>
        </is>
      </c>
      <c r="J21" t="inlineStr">
        <is>
          <t>简中宝可梦 剑&amp;盾 强化包 胜象星引（CS6.5C），6张/包×20包/盒，SS 时代末代强化包。</t>
        </is>
      </c>
    </row>
    <row r="22">
      <c r="A22" t="inlineStr">
        <is>
          <t>售罄</t>
        </is>
      </c>
      <c r="B22" t="inlineStr">
        <is>
          <t>碧海暗影 BOX（简中）</t>
        </is>
      </c>
      <c r="C22" t="inlineStr">
        <is>
          <t>剑&amp;盾 CS6a</t>
        </is>
      </c>
      <c r="D22" t="inlineStr">
        <is>
          <t>肥盒</t>
        </is>
      </c>
      <c r="E22" t="inlineStr">
        <is>
          <t>上架</t>
        </is>
      </c>
      <c r="F22" t="n">
        <v>0</v>
      </c>
      <c r="G22" t="n">
        <v>5800</v>
      </c>
      <c r="I22" t="inlineStr">
        <is>
          <t>网站公开商品页 + Obsidian</t>
        </is>
      </c>
      <c r="J22" t="inlineStr">
        <is>
          <t>简中宝可梦 剑&amp;盾 碧海暗影（CS6aC），2024年9月20日发售，SS 时代最终弹，5张/包×30包/盒。</t>
        </is>
      </c>
    </row>
    <row r="23">
      <c r="A23" t="inlineStr">
        <is>
          <t>售罄</t>
        </is>
      </c>
      <c r="B23" t="inlineStr">
        <is>
          <t>SM 强化包 第一弹 BOX（简中）</t>
        </is>
      </c>
      <c r="C23" t="inlineStr">
        <is>
          <t>太阳&amp;月亮 CSM1.5</t>
        </is>
      </c>
      <c r="D23" t="inlineStr">
        <is>
          <t>瘦盒</t>
        </is>
      </c>
      <c r="E23" t="inlineStr">
        <is>
          <t>上架</t>
        </is>
      </c>
      <c r="F23" t="n">
        <v>0</v>
      </c>
      <c r="G23" t="n">
        <v>5500</v>
      </c>
      <c r="I23" t="inlineStr">
        <is>
          <t>网站公开商品页 + Obsidian</t>
        </is>
      </c>
      <c r="J23" t="inlineStr">
        <is>
          <t>简中宝可梦 太阳&amp;月亮 强化包 第一弹（CSM1.5C），6张/包 × 20包/盒。</t>
        </is>
      </c>
    </row>
    <row r="24">
      <c r="A24" t="inlineStr">
        <is>
          <t>售罄</t>
        </is>
      </c>
      <c r="B24" t="inlineStr">
        <is>
          <t>横空出世 赫 BOX（简中）</t>
        </is>
      </c>
      <c r="C24" t="inlineStr">
        <is>
          <t>太阳&amp;月亮 CSM1a</t>
        </is>
      </c>
      <c r="D24" t="inlineStr">
        <is>
          <t>肥盒</t>
        </is>
      </c>
      <c r="E24" t="inlineStr">
        <is>
          <t>上架</t>
        </is>
      </c>
      <c r="F24" t="n">
        <v>0</v>
      </c>
      <c r="G24" t="n">
        <v>7500</v>
      </c>
      <c r="I24" t="inlineStr">
        <is>
          <t>网站公开商品页 + Obsidian</t>
        </is>
      </c>
      <c r="J24" t="inlineStr">
        <is>
          <t>简中宝可梦 太阳&amp;月亮 横空出世 赫（CSM1aC），2022年10月28日发售，简中初代首发。</t>
        </is>
      </c>
    </row>
    <row r="25">
      <c r="A25" t="inlineStr">
        <is>
          <t>售罄</t>
        </is>
      </c>
      <c r="B25" t="inlineStr">
        <is>
          <t>横空出世 苍 BOX（简中）</t>
        </is>
      </c>
      <c r="C25" t="inlineStr">
        <is>
          <t>太阳&amp;月亮 CSM1b</t>
        </is>
      </c>
      <c r="D25" t="inlineStr">
        <is>
          <t>肥盒</t>
        </is>
      </c>
      <c r="E25" t="inlineStr">
        <is>
          <t>上架</t>
        </is>
      </c>
      <c r="F25" t="n">
        <v>0</v>
      </c>
      <c r="G25" t="n">
        <v>7500</v>
      </c>
      <c r="I25" t="inlineStr">
        <is>
          <t>网站公开商品页 + Obsidian</t>
        </is>
      </c>
      <c r="J25" t="inlineStr">
        <is>
          <t>简中宝可梦 太阳&amp;月亮 横空出世 苍（CSM1bC），2022年10月28日发售，简中初代首发。</t>
        </is>
      </c>
    </row>
    <row r="26">
      <c r="A26" t="inlineStr">
        <is>
          <t>售罄</t>
        </is>
      </c>
      <c r="B26" t="inlineStr">
        <is>
          <t>横空出世 泽 BOX（简中）</t>
        </is>
      </c>
      <c r="C26" t="inlineStr">
        <is>
          <t>太阳&amp;月亮 CSM1c</t>
        </is>
      </c>
      <c r="D26" t="inlineStr">
        <is>
          <t>肥盒</t>
        </is>
      </c>
      <c r="E26" t="inlineStr">
        <is>
          <t>上架</t>
        </is>
      </c>
      <c r="F26" t="n">
        <v>0</v>
      </c>
      <c r="G26" t="n">
        <v>7500</v>
      </c>
      <c r="I26" t="inlineStr">
        <is>
          <t>网站公开商品页 + Obsidian</t>
        </is>
      </c>
      <c r="J26" t="inlineStr">
        <is>
          <t>简中宝可梦 太阳&amp;月亮 横空出世 泽（CSM1cC），2022年10月28日发售，简中初代首发。</t>
        </is>
      </c>
    </row>
    <row r="27">
      <c r="A27" t="inlineStr">
        <is>
          <t>售罄</t>
        </is>
      </c>
      <c r="B27" t="inlineStr">
        <is>
          <t>SM 强化包 第二弹 BOX（简中）</t>
        </is>
      </c>
      <c r="C27" t="inlineStr">
        <is>
          <t>太阳&amp;月亮 CSM2.5</t>
        </is>
      </c>
      <c r="D27" t="inlineStr">
        <is>
          <t>瘦盒</t>
        </is>
      </c>
      <c r="E27" t="inlineStr">
        <is>
          <t>上架</t>
        </is>
      </c>
      <c r="F27" t="n">
        <v>0</v>
      </c>
      <c r="G27" t="n">
        <v>5500</v>
      </c>
      <c r="I27" t="inlineStr">
        <is>
          <t>网站公开商品页 + Obsidian</t>
        </is>
      </c>
      <c r="J27" t="inlineStr">
        <is>
          <t>简中宝可梦 太阳&amp;月亮 强化包 第二弹（CSM2.5C），6张/包 × 20包/盒。</t>
        </is>
      </c>
    </row>
    <row r="28">
      <c r="A28" t="inlineStr">
        <is>
          <t>售罄</t>
        </is>
      </c>
      <c r="B28" t="inlineStr">
        <is>
          <t>交相辉映 沐 BOX（简中）</t>
        </is>
      </c>
      <c r="C28" t="inlineStr">
        <is>
          <t>太阳&amp;月亮 CSM2a</t>
        </is>
      </c>
      <c r="D28" t="inlineStr">
        <is>
          <t>肥盒</t>
        </is>
      </c>
      <c r="E28" t="inlineStr">
        <is>
          <t>上架</t>
        </is>
      </c>
      <c r="F28" t="n">
        <v>0</v>
      </c>
      <c r="G28" t="n">
        <v>7000</v>
      </c>
      <c r="I28" t="inlineStr">
        <is>
          <t>网站公开商品页 + Obsidian</t>
        </is>
      </c>
      <c r="J28" t="inlineStr">
        <is>
          <t>简中宝可梦 太阳&amp;月亮 交相辉映 沐（CSM2aC），2023年1月18日发售。</t>
        </is>
      </c>
    </row>
    <row r="29">
      <c r="A29" t="inlineStr">
        <is>
          <t>售罄</t>
        </is>
      </c>
      <c r="B29" t="inlineStr">
        <is>
          <t>交相辉映 魁 BOX（简中）</t>
        </is>
      </c>
      <c r="C29" t="inlineStr">
        <is>
          <t>太阳&amp;月亮 CSM2b</t>
        </is>
      </c>
      <c r="D29" t="inlineStr">
        <is>
          <t>肥盒</t>
        </is>
      </c>
      <c r="E29" t="inlineStr">
        <is>
          <t>上架</t>
        </is>
      </c>
      <c r="F29" t="n">
        <v>0</v>
      </c>
      <c r="G29" t="n">
        <v>7000</v>
      </c>
      <c r="I29" t="inlineStr">
        <is>
          <t>网站公开商品页 + Obsidian</t>
        </is>
      </c>
      <c r="J29" t="inlineStr">
        <is>
          <t>简中宝可梦 太阳&amp;月亮 交相辉映 魁（CSM2bC），2023年1月18日发售。</t>
        </is>
      </c>
    </row>
    <row r="30">
      <c r="A30" t="inlineStr">
        <is>
          <t>售罄</t>
        </is>
      </c>
      <c r="B30" t="inlineStr">
        <is>
          <t>交相辉映 唤 BOX（简中）</t>
        </is>
      </c>
      <c r="C30" t="inlineStr">
        <is>
          <t>太阳&amp;月亮 CSM2c</t>
        </is>
      </c>
      <c r="D30" t="inlineStr">
        <is>
          <t>肥盒</t>
        </is>
      </c>
      <c r="E30" t="inlineStr">
        <is>
          <t>上架</t>
        </is>
      </c>
      <c r="F30" t="n">
        <v>0</v>
      </c>
      <c r="G30" t="n">
        <v>7000</v>
      </c>
      <c r="I30" t="inlineStr">
        <is>
          <t>网站公开商品页 + Obsidian</t>
        </is>
      </c>
      <c r="J30" t="inlineStr">
        <is>
          <t>简中宝可梦 太阳&amp;月亮 交相辉映 唤（CSM2cC），2023年1月18日发售。</t>
        </is>
      </c>
    </row>
    <row r="31">
      <c r="A31" t="inlineStr">
        <is>
          <t>售罄</t>
        </is>
      </c>
      <c r="B31" t="inlineStr">
        <is>
          <t>奇迹启程 BOX（简中）</t>
        </is>
      </c>
      <c r="C31" t="inlineStr">
        <is>
          <t>朱・紫 CSV2c</t>
        </is>
      </c>
      <c r="D31" t="inlineStr">
        <is>
          <t>肥盒</t>
        </is>
      </c>
      <c r="E31" t="inlineStr">
        <is>
          <t>上架</t>
        </is>
      </c>
      <c r="F31" t="n">
        <v>0</v>
      </c>
      <c r="G31" t="n">
        <v>4800</v>
      </c>
      <c r="I31" t="inlineStr">
        <is>
          <t>网站公开商品页 + Obsidian</t>
        </is>
      </c>
      <c r="J31" t="inlineStr">
        <is>
          <t>简中宝可梦 朱&amp;紫 奇迹启程（CSV2C）原盒，2025年3月21日发售，每盒30包，每包5张。</t>
        </is>
      </c>
    </row>
    <row r="32">
      <c r="A32" t="inlineStr">
        <is>
          <t>售罄</t>
        </is>
      </c>
      <c r="B32" t="inlineStr">
        <is>
          <t>无畏太晶 BOX（简中）</t>
        </is>
      </c>
      <c r="C32" t="inlineStr">
        <is>
          <t>朱・紫 CSV3c</t>
        </is>
      </c>
      <c r="D32" t="inlineStr">
        <is>
          <t>肥盒</t>
        </is>
      </c>
      <c r="E32" t="inlineStr">
        <is>
          <t>上架</t>
        </is>
      </c>
      <c r="F32" t="n">
        <v>0</v>
      </c>
      <c r="G32" t="n">
        <v>5000</v>
      </c>
      <c r="I32" t="inlineStr">
        <is>
          <t>网站公开商品页 + Obsidian</t>
        </is>
      </c>
      <c r="J32" t="inlineStr">
        <is>
          <t>简中宝可梦 朱&amp;紫 无畏太晶（CSV3C）原盒，2025年5月16日发售，每盒30包，每包5张。</t>
        </is>
      </c>
    </row>
    <row r="33">
      <c r="A33" t="inlineStr">
        <is>
          <t>售罄</t>
        </is>
      </c>
      <c r="B33" t="inlineStr">
        <is>
          <t>嘉奖回合 BOX（简中）</t>
        </is>
      </c>
      <c r="C33" t="inlineStr">
        <is>
          <t>朱・紫 CSV4c</t>
        </is>
      </c>
      <c r="D33" t="inlineStr">
        <is>
          <t>肥盒</t>
        </is>
      </c>
      <c r="E33" t="inlineStr">
        <is>
          <t>上架</t>
        </is>
      </c>
      <c r="F33" t="n">
        <v>0</v>
      </c>
      <c r="G33" t="n">
        <v>5200</v>
      </c>
      <c r="I33" t="inlineStr">
        <is>
          <t>网站公开商品页 + Obsidian</t>
        </is>
      </c>
      <c r="J33" t="inlineStr">
        <is>
          <t>简中宝可梦 朱&amp;紫 嘉奖回合（CSV4C）原盒，2025年7月18日发售，每盒30包，每包5张。</t>
        </is>
      </c>
    </row>
    <row r="34">
      <c r="A34" t="inlineStr">
        <is>
          <t>售罄</t>
        </is>
      </c>
      <c r="B34" t="inlineStr">
        <is>
          <t>真实玄虚 BOX（简中）</t>
        </is>
      </c>
      <c r="C34" t="inlineStr">
        <is>
          <t>朱・紫 CSV6c</t>
        </is>
      </c>
      <c r="D34" t="inlineStr">
        <is>
          <t>肥盒</t>
        </is>
      </c>
      <c r="E34" t="inlineStr">
        <is>
          <t>上架</t>
        </is>
      </c>
      <c r="F34" t="n">
        <v>0</v>
      </c>
      <c r="G34" t="n">
        <v>5600</v>
      </c>
      <c r="I34" t="inlineStr">
        <is>
          <t>网站公开商品页 + Obsidian</t>
        </is>
      </c>
      <c r="J34" t="inlineStr">
        <is>
          <t>简中宝可梦 朱&amp;紫 真实玄虚（CSV6C）原盒，2025年11月7日发售，每盒30包，每包5张。</t>
        </is>
      </c>
    </row>
    <row r="35">
      <c r="A35" t="inlineStr">
        <is>
          <t>售罄</t>
        </is>
      </c>
      <c r="B35" t="inlineStr">
        <is>
          <t>璀璨诡幻 BOX（简中）</t>
        </is>
      </c>
      <c r="C35" t="inlineStr">
        <is>
          <t>朱・紫 CSV8c</t>
        </is>
      </c>
      <c r="D35" t="inlineStr">
        <is>
          <t>肥盒</t>
        </is>
      </c>
      <c r="E35" t="inlineStr">
        <is>
          <t>上架</t>
        </is>
      </c>
      <c r="F35" t="n">
        <v>0</v>
      </c>
      <c r="G35" t="n">
        <v>6000</v>
      </c>
      <c r="I35" t="inlineStr">
        <is>
          <t>网站公开商品页 + Obsidian</t>
        </is>
      </c>
      <c r="J35" t="inlineStr">
        <is>
          <t>简中宝可梦 朱&amp;紫 璀璨诡幻（CSV8C）原盒，2026年3月13日发售，每盒30包，每包5张。</t>
        </is>
      </c>
    </row>
    <row r="36">
      <c r="A36" t="inlineStr">
        <is>
          <t>未上架</t>
        </is>
      </c>
      <c r="B36" t="inlineStr">
        <is>
          <t>朱紫 三连击</t>
        </is>
      </c>
      <c r="C36" t="inlineStr">
        <is>
          <t>宝可梦卡牌</t>
        </is>
      </c>
      <c r="D36" t="inlineStr">
        <is>
          <t>booster_box</t>
        </is>
      </c>
      <c r="E36" t="inlineStr">
        <is>
          <t>草稿</t>
        </is>
      </c>
      <c r="F36" t="n">
        <v>0</v>
      </c>
      <c r="H36" t="inlineStr">
        <is>
          <t>draft</t>
        </is>
      </c>
      <c r="I36" t="inlineStr">
        <is>
          <t>Obsidian 产品笔记</t>
        </is>
      </c>
      <c r="J36" t="inlineStr">
        <is>
          <t>未在网站公开 Pokemon 列表中命中：C:\Users\33092\Desktop\obsi\KANDA\KKCARD OS\Products\JP\SV1A-トリプレットビート.md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8"/>
  <sheetViews>
    <sheetView topLeftCell="C1" workbookViewId="0">
      <pane ySplit="1" topLeftCell="A27" activePane="bottomLeft" state="frozen"/>
      <selection pane="bottomLeft" activeCell="A1" sqref="A1"/>
    </sheetView>
  </sheetViews>
  <sheetFormatPr baseColWidth="8" defaultRowHeight="14"/>
  <cols>
    <col width="8" customWidth="1" style="59" min="1" max="1"/>
    <col width="30" customWidth="1" style="59" min="2" max="2"/>
    <col width="20" customWidth="1" style="59" min="3" max="3"/>
    <col width="16" customWidth="1" style="59" min="4" max="4"/>
    <col width="34" customWidth="1" style="59" min="5" max="5"/>
    <col width="22" customWidth="1" style="59" min="6" max="7"/>
    <col width="46" customWidth="1" style="59" min="8" max="8"/>
    <col width="30" customWidth="1" style="59" min="9" max="9"/>
  </cols>
  <sheetData>
    <row r="1">
      <c r="A1" s="26" t="inlineStr">
        <is>
          <t>总表行号</t>
        </is>
      </c>
      <c r="B1" s="26" t="inlineStr">
        <is>
          <t>商品名</t>
        </is>
      </c>
      <c r="C1" s="26" t="inlineStr">
        <is>
          <t>系列/编号</t>
        </is>
      </c>
      <c r="D1" s="26" t="inlineStr">
        <is>
          <t>匹配状态</t>
        </is>
      </c>
      <c r="E1" s="26" t="inlineStr">
        <is>
          <t>pokemon.cn标题</t>
        </is>
      </c>
      <c r="F1" s="26" t="inlineStr">
        <is>
          <t>本地文件名</t>
        </is>
      </c>
      <c r="G1" s="26" t="inlineStr">
        <is>
          <t>图片相对路径(网站)</t>
        </is>
      </c>
      <c r="H1" s="26" t="inlineStr">
        <is>
          <t>来源URL</t>
        </is>
      </c>
      <c r="I1" s="26" t="inlineStr">
        <is>
          <t>备注</t>
        </is>
      </c>
    </row>
    <row r="2">
      <c r="A2" t="n">
        <v>6</v>
      </c>
      <c r="B2" t="inlineStr">
        <is>
          <t>补充包 共逐荣光 瘦盒 BOX（简中）</t>
        </is>
      </c>
      <c r="C2" t="inlineStr">
        <is>
          <t>朱・紫 CSV10c</t>
        </is>
      </c>
      <c r="D2" t="inlineStr">
        <is>
          <t>已备份</t>
        </is>
      </c>
      <c r="E2" t="inlineStr">
        <is>
          <t>补充包 共逐荣光 瘦盒 BOX（简中）</t>
        </is>
      </c>
      <c r="F2" t="inlineStr">
        <is>
          <t>csv10c-slim.png</t>
        </is>
      </c>
      <c r="G2" t="inlineStr">
        <is>
          <t>/products/csv10c-slim.png</t>
        </is>
      </c>
      <c r="H2" t="inlineStr"/>
      <c r="I2" t="inlineStr">
        <is>
          <t>DB status=上架</t>
        </is>
      </c>
    </row>
    <row r="3">
      <c r="A3" t="n">
        <v>9</v>
      </c>
      <c r="B3" t="inlineStr">
        <is>
          <t>补充包 共逐荣光 肥盒 BOX（简中）</t>
        </is>
      </c>
      <c r="C3" t="inlineStr">
        <is>
          <t>朱・紫 CSV10c</t>
        </is>
      </c>
      <c r="D3" t="inlineStr">
        <is>
          <t>已备份</t>
        </is>
      </c>
      <c r="E3" t="inlineStr">
        <is>
          <t>补充包 共逐荣光 肥盒 BOX（简中）</t>
        </is>
      </c>
      <c r="F3" t="inlineStr">
        <is>
          <t>csv10c-fat.png</t>
        </is>
      </c>
      <c r="G3" t="inlineStr">
        <is>
          <t>/products/csv10c-fat.png</t>
        </is>
      </c>
      <c r="H3" t="inlineStr"/>
      <c r="I3" t="inlineStr">
        <is>
          <t>DB status=上架</t>
        </is>
      </c>
    </row>
    <row r="4">
      <c r="A4" t="n">
        <v>13</v>
      </c>
      <c r="B4" t="inlineStr">
        <is>
          <t>补充包 星彩晶璃 瘦盒 BOX（简中）</t>
        </is>
      </c>
      <c r="C4" t="inlineStr">
        <is>
          <t>朱・紫 CSV9c</t>
        </is>
      </c>
      <c r="D4" t="inlineStr">
        <is>
          <t>已备份</t>
        </is>
      </c>
      <c r="E4" t="inlineStr">
        <is>
          <t>补充包 星彩晶璃 瘦盒 BOX（简中）</t>
        </is>
      </c>
      <c r="F4" t="inlineStr">
        <is>
          <t>csv9c-slim.png</t>
        </is>
      </c>
      <c r="G4" t="inlineStr">
        <is>
          <t>/products/csv9c-slim.png</t>
        </is>
      </c>
      <c r="H4" t="inlineStr"/>
      <c r="I4" t="inlineStr">
        <is>
          <t>DB status=上架</t>
        </is>
      </c>
    </row>
    <row r="5">
      <c r="A5" t="n">
        <v>16</v>
      </c>
      <c r="B5" t="inlineStr">
        <is>
          <t>补充包 星彩晶璃 肥盒 BOX（简中）</t>
        </is>
      </c>
      <c r="C5" t="inlineStr">
        <is>
          <t>朱・紫 CSV9c</t>
        </is>
      </c>
      <c r="D5" t="inlineStr">
        <is>
          <t>已备份</t>
        </is>
      </c>
      <c r="E5" t="inlineStr">
        <is>
          <t>补充包 星彩晶璃 肥盒 BOX（简中）</t>
        </is>
      </c>
      <c r="F5" t="inlineStr">
        <is>
          <t>csv9c-fat.png</t>
        </is>
      </c>
      <c r="G5" t="inlineStr">
        <is>
          <t>/products/csv9c-fat.png</t>
        </is>
      </c>
      <c r="H5" t="inlineStr"/>
      <c r="I5" t="inlineStr">
        <is>
          <t>DB status=上架</t>
        </is>
      </c>
    </row>
    <row r="6">
      <c r="A6" t="n">
        <v>20</v>
      </c>
      <c r="B6" t="inlineStr">
        <is>
          <t>补充包 璀璨诡幻 瘦盒 BOX（简中）</t>
        </is>
      </c>
      <c r="C6" t="inlineStr">
        <is>
          <t>朱・紫 CSV8c</t>
        </is>
      </c>
      <c r="D6" t="inlineStr">
        <is>
          <t>已备份</t>
        </is>
      </c>
      <c r="E6" t="inlineStr">
        <is>
          <t>补充包 璀璨诡幻 瘦盒 BOX（简中）</t>
        </is>
      </c>
      <c r="F6" t="inlineStr">
        <is>
          <t>csv8c-slim.png</t>
        </is>
      </c>
      <c r="G6" t="inlineStr">
        <is>
          <t>/products/csv8c-slim.png</t>
        </is>
      </c>
      <c r="H6" t="inlineStr"/>
      <c r="I6" t="inlineStr">
        <is>
          <t>DB status=上架</t>
        </is>
      </c>
    </row>
    <row r="7">
      <c r="A7" t="n">
        <v>23</v>
      </c>
      <c r="B7" t="inlineStr">
        <is>
          <t>补充包 璀璨诡幻 肥盒 BOX（简中）</t>
        </is>
      </c>
      <c r="C7" t="inlineStr">
        <is>
          <t>朱・紫 CSV8c</t>
        </is>
      </c>
      <c r="D7" t="inlineStr">
        <is>
          <t>已备份</t>
        </is>
      </c>
      <c r="E7" t="inlineStr">
        <is>
          <t>补充包 璀璨诡幻 肥盒 BOX（简中）</t>
        </is>
      </c>
      <c r="F7" t="inlineStr">
        <is>
          <t>csv8c-fat.png</t>
        </is>
      </c>
      <c r="G7" t="inlineStr">
        <is>
          <t>/products/csv8c-fat.png</t>
        </is>
      </c>
      <c r="H7" t="inlineStr"/>
      <c r="I7" t="inlineStr">
        <is>
          <t>DB status=上架</t>
        </is>
      </c>
    </row>
    <row r="8">
      <c r="A8" t="n">
        <v>27</v>
      </c>
      <c r="B8" t="inlineStr">
        <is>
          <t>补充包 利刃猛醒 瘦盒 BOX（简中）</t>
        </is>
      </c>
      <c r="C8" t="inlineStr">
        <is>
          <t>朱・紫 CSV7c</t>
        </is>
      </c>
      <c r="D8" t="inlineStr">
        <is>
          <t>已备份</t>
        </is>
      </c>
      <c r="E8" t="inlineStr">
        <is>
          <t>补充包 利刃猛醒 瘦盒 BOX（简中）</t>
        </is>
      </c>
      <c r="F8" t="inlineStr">
        <is>
          <t>csv7c-slim.png</t>
        </is>
      </c>
      <c r="G8" t="inlineStr">
        <is>
          <t>/products/csv7c-slim.png</t>
        </is>
      </c>
      <c r="H8" t="inlineStr"/>
      <c r="I8" t="inlineStr">
        <is>
          <t>DB status=上架</t>
        </is>
      </c>
    </row>
    <row r="9">
      <c r="A9" t="n">
        <v>30</v>
      </c>
      <c r="B9" t="inlineStr">
        <is>
          <t>补充包 利刃猛醒 肥盒 BOX（简中）</t>
        </is>
      </c>
      <c r="C9" t="inlineStr">
        <is>
          <t>朱・紫 CSV7c</t>
        </is>
      </c>
      <c r="D9" t="inlineStr">
        <is>
          <t>已备份</t>
        </is>
      </c>
      <c r="E9" t="inlineStr">
        <is>
          <t>补充包 利刃猛醒 肥盒 BOX（简中）</t>
        </is>
      </c>
      <c r="F9" t="inlineStr">
        <is>
          <t>csv7c-fat.png</t>
        </is>
      </c>
      <c r="G9" t="inlineStr">
        <is>
          <t>/products/csv7c-fat.png</t>
        </is>
      </c>
      <c r="H9" t="inlineStr"/>
      <c r="I9" t="inlineStr">
        <is>
          <t>DB status=上架</t>
        </is>
      </c>
    </row>
    <row r="10">
      <c r="A10" t="n">
        <v>34</v>
      </c>
      <c r="B10" t="inlineStr">
        <is>
          <t>补充包 真实玄虚 瘦盒 BOX（简中）</t>
        </is>
      </c>
      <c r="C10" t="inlineStr">
        <is>
          <t>朱・紫 CSV6c</t>
        </is>
      </c>
      <c r="D10" t="inlineStr">
        <is>
          <t>已备份</t>
        </is>
      </c>
      <c r="E10" t="inlineStr">
        <is>
          <t>补充包 真实玄虚 瘦盒 BOX（简中）</t>
        </is>
      </c>
      <c r="F10" t="inlineStr">
        <is>
          <t>csv6c-slim.png</t>
        </is>
      </c>
      <c r="G10" t="inlineStr">
        <is>
          <t>/products/csv6c-slim.png</t>
        </is>
      </c>
      <c r="H10" t="inlineStr"/>
      <c r="I10" t="inlineStr">
        <is>
          <t>DB status=上架</t>
        </is>
      </c>
    </row>
    <row r="11">
      <c r="A11" t="n">
        <v>37</v>
      </c>
      <c r="B11" t="inlineStr">
        <is>
          <t>补充包 真实玄虚 肥盒 BOX（简中）</t>
        </is>
      </c>
      <c r="C11" t="inlineStr">
        <is>
          <t>朱・紫 CSV6c</t>
        </is>
      </c>
      <c r="D11" t="inlineStr">
        <is>
          <t>已备份</t>
        </is>
      </c>
      <c r="E11" t="inlineStr">
        <is>
          <t>补充包 真实玄虚 肥盒 BOX（简中）</t>
        </is>
      </c>
      <c r="F11" t="inlineStr">
        <is>
          <t>csv6c-fat.png</t>
        </is>
      </c>
      <c r="G11" t="inlineStr">
        <is>
          <t>/products/csv6c-fat.png</t>
        </is>
      </c>
      <c r="H11" t="inlineStr"/>
      <c r="I11" t="inlineStr">
        <is>
          <t>DB status=上架</t>
        </is>
      </c>
    </row>
    <row r="12">
      <c r="A12" t="n">
        <v>41</v>
      </c>
      <c r="B12" t="inlineStr">
        <is>
          <t>补充包 黑晶炽诚 瘦盒 BOX（简中）</t>
        </is>
      </c>
      <c r="C12" t="inlineStr">
        <is>
          <t>朱・紫 CSV5c</t>
        </is>
      </c>
      <c r="D12" t="inlineStr">
        <is>
          <t>已备份</t>
        </is>
      </c>
      <c r="E12" t="inlineStr">
        <is>
          <t>补充包 黑晶炽诚 瘦盒 BOX（简中）</t>
        </is>
      </c>
      <c r="F12" t="inlineStr">
        <is>
          <t>csv5c-slim.png</t>
        </is>
      </c>
      <c r="G12" t="inlineStr">
        <is>
          <t>/products/csv5c-slim.png</t>
        </is>
      </c>
      <c r="H12" t="inlineStr"/>
      <c r="I12" t="inlineStr">
        <is>
          <t>DB status=上架</t>
        </is>
      </c>
    </row>
    <row r="13">
      <c r="A13" t="n">
        <v>44</v>
      </c>
      <c r="B13" t="inlineStr">
        <is>
          <t>补充包 黑晶炽诚 肥盒 BOX（简中）</t>
        </is>
      </c>
      <c r="C13" t="inlineStr">
        <is>
          <t>朱・紫 CSV5c</t>
        </is>
      </c>
      <c r="D13" t="inlineStr">
        <is>
          <t>已备份</t>
        </is>
      </c>
      <c r="E13" t="inlineStr">
        <is>
          <t>补充包 黑晶炽诚 肥盒 BOX（简中）</t>
        </is>
      </c>
      <c r="F13" t="inlineStr">
        <is>
          <t>csv5c-fat.png</t>
        </is>
      </c>
      <c r="G13" t="inlineStr">
        <is>
          <t>/products/csv5c-fat.png</t>
        </is>
      </c>
      <c r="H13" t="inlineStr"/>
      <c r="I13" t="inlineStr">
        <is>
          <t>DB status=上架</t>
        </is>
      </c>
    </row>
    <row r="14">
      <c r="A14" t="n">
        <v>48</v>
      </c>
      <c r="B14" t="inlineStr">
        <is>
          <t>补充包 嘉奖回合 瘦盒 BOX（简中）</t>
        </is>
      </c>
      <c r="C14" t="inlineStr">
        <is>
          <t>朱・紫 CSV4c</t>
        </is>
      </c>
      <c r="D14" t="inlineStr">
        <is>
          <t>已备份</t>
        </is>
      </c>
      <c r="E14" t="inlineStr">
        <is>
          <t>补充包 嘉奖回合 瘦盒 BOX（简中）</t>
        </is>
      </c>
      <c r="F14" t="inlineStr">
        <is>
          <t>csv4c-slim.png</t>
        </is>
      </c>
      <c r="G14" t="inlineStr">
        <is>
          <t>/products/csv4c-slim.png</t>
        </is>
      </c>
      <c r="H14" t="inlineStr"/>
      <c r="I14" t="inlineStr">
        <is>
          <t>DB status=上架</t>
        </is>
      </c>
    </row>
    <row r="15">
      <c r="A15" t="n">
        <v>51</v>
      </c>
      <c r="B15" t="inlineStr">
        <is>
          <t>补充包 嘉奖回合 肥盒 BOX（简中）</t>
        </is>
      </c>
      <c r="C15" t="inlineStr">
        <is>
          <t>朱・紫 CSV4c</t>
        </is>
      </c>
      <c r="D15" t="inlineStr">
        <is>
          <t>已备份</t>
        </is>
      </c>
      <c r="E15" t="inlineStr">
        <is>
          <t>补充包 嘉奖回合 肥盒 BOX（简中）</t>
        </is>
      </c>
      <c r="F15" t="inlineStr">
        <is>
          <t>csv4c-fat.png</t>
        </is>
      </c>
      <c r="G15" t="inlineStr">
        <is>
          <t>/products/csv4c-fat.png</t>
        </is>
      </c>
      <c r="H15" t="inlineStr"/>
      <c r="I15" t="inlineStr">
        <is>
          <t>DB status=上架</t>
        </is>
      </c>
    </row>
    <row r="16">
      <c r="A16" t="n">
        <v>55</v>
      </c>
      <c r="B16" t="inlineStr">
        <is>
          <t>补充包 无畏太晶 瘦盒 BOX（简中）</t>
        </is>
      </c>
      <c r="C16" t="inlineStr">
        <is>
          <t>朱・紫 CSV3c</t>
        </is>
      </c>
      <c r="D16" t="inlineStr">
        <is>
          <t>已备份</t>
        </is>
      </c>
      <c r="E16" t="inlineStr">
        <is>
          <t>补充包 无畏太晶 瘦盒 BOX（简中）</t>
        </is>
      </c>
      <c r="F16" t="inlineStr">
        <is>
          <t>csv3c-slim.png</t>
        </is>
      </c>
      <c r="G16" t="inlineStr">
        <is>
          <t>/products/csv3c-slim.png</t>
        </is>
      </c>
      <c r="H16" t="inlineStr"/>
      <c r="I16" t="inlineStr">
        <is>
          <t>DB status=上架</t>
        </is>
      </c>
    </row>
    <row r="17">
      <c r="A17" t="n">
        <v>58</v>
      </c>
      <c r="B17" t="inlineStr">
        <is>
          <t>补充包 无畏太晶 肥盒 BOX（简中）</t>
        </is>
      </c>
      <c r="C17" t="inlineStr">
        <is>
          <t>朱・紫 CSV3c</t>
        </is>
      </c>
      <c r="D17" t="inlineStr">
        <is>
          <t>已备份</t>
        </is>
      </c>
      <c r="E17" t="inlineStr">
        <is>
          <t>补充包 无畏太晶 肥盒 BOX（简中）</t>
        </is>
      </c>
      <c r="F17" t="inlineStr">
        <is>
          <t>csv3c-fat.png</t>
        </is>
      </c>
      <c r="G17" t="inlineStr">
        <is>
          <t>/products/csv3c-fat.png</t>
        </is>
      </c>
      <c r="H17" t="inlineStr"/>
      <c r="I17" t="inlineStr">
        <is>
          <t>DB status=上架</t>
        </is>
      </c>
    </row>
    <row r="18">
      <c r="A18" t="n">
        <v>62</v>
      </c>
      <c r="B18" t="inlineStr">
        <is>
          <t>补充包 奇迹启程 瘦盒 BOX（简中）</t>
        </is>
      </c>
      <c r="C18" t="inlineStr">
        <is>
          <t>朱・紫 CSV2c</t>
        </is>
      </c>
      <c r="D18" t="inlineStr">
        <is>
          <t>已备份</t>
        </is>
      </c>
      <c r="E18" t="inlineStr">
        <is>
          <t>补充包 奇迹启程 瘦盒 BOX（简中）</t>
        </is>
      </c>
      <c r="F18" t="inlineStr">
        <is>
          <t>csv2c-slim.png</t>
        </is>
      </c>
      <c r="G18" t="inlineStr">
        <is>
          <t>/products/csv2c-slim.png</t>
        </is>
      </c>
      <c r="H18" t="inlineStr"/>
      <c r="I18" t="inlineStr">
        <is>
          <t>DB status=上架</t>
        </is>
      </c>
    </row>
    <row r="19">
      <c r="A19" t="n">
        <v>65</v>
      </c>
      <c r="B19" t="inlineStr">
        <is>
          <t>补充包 奇迹启程 肥盒 BOX（简中）</t>
        </is>
      </c>
      <c r="C19" t="inlineStr">
        <is>
          <t>朱・紫 CSV2c</t>
        </is>
      </c>
      <c r="D19" t="inlineStr">
        <is>
          <t>已备份</t>
        </is>
      </c>
      <c r="E19" t="inlineStr">
        <is>
          <t>补充包 奇迹启程 肥盒 BOX（简中）</t>
        </is>
      </c>
      <c r="F19" t="inlineStr">
        <is>
          <t>csv2c-fat.png</t>
        </is>
      </c>
      <c r="G19" t="inlineStr">
        <is>
          <t>/products/csv2c-fat.png</t>
        </is>
      </c>
      <c r="H19" t="inlineStr"/>
      <c r="I19" t="inlineStr">
        <is>
          <t>DB status=上架</t>
        </is>
      </c>
    </row>
    <row r="20">
      <c r="A20" t="n">
        <v>70</v>
      </c>
      <c r="B20" t="inlineStr">
        <is>
          <t>补充包 亘古开来 瘦盒 BOX（简中）</t>
        </is>
      </c>
      <c r="C20" t="inlineStr">
        <is>
          <t>朱・紫 CSV1c</t>
        </is>
      </c>
      <c r="D20" t="inlineStr">
        <is>
          <t>已备份</t>
        </is>
      </c>
      <c r="E20" t="inlineStr">
        <is>
          <t>补充包 亘古开来 瘦盒 BOX（简中）</t>
        </is>
      </c>
      <c r="F20" t="inlineStr">
        <is>
          <t>csv1c-slim.png</t>
        </is>
      </c>
      <c r="G20" t="inlineStr">
        <is>
          <t>/products/csv1c-slim.png</t>
        </is>
      </c>
      <c r="H20" t="inlineStr"/>
      <c r="I20" t="inlineStr">
        <is>
          <t>DB status=上架</t>
        </is>
      </c>
    </row>
    <row r="21">
      <c r="A21" t="n">
        <v>73</v>
      </c>
      <c r="B21" t="inlineStr">
        <is>
          <t>补充包 亘古开来 肥盒 BOX（简中）</t>
        </is>
      </c>
      <c r="C21" t="inlineStr">
        <is>
          <t>朱・紫 CSV1c</t>
        </is>
      </c>
      <c r="D21" t="inlineStr">
        <is>
          <t>已备份</t>
        </is>
      </c>
      <c r="E21" t="inlineStr">
        <is>
          <t>补充包 亘古开来 肥盒 BOX（简中）</t>
        </is>
      </c>
      <c r="F21" t="inlineStr">
        <is>
          <t>csv1c-fat.png</t>
        </is>
      </c>
      <c r="G21" t="inlineStr">
        <is>
          <t>/products/csv1c-fat.png</t>
        </is>
      </c>
      <c r="H21" t="inlineStr"/>
      <c r="I21" t="inlineStr">
        <is>
          <t>DB status=上架</t>
        </is>
      </c>
    </row>
    <row r="22">
      <c r="A22" t="n">
        <v>77</v>
      </c>
      <c r="B22" t="inlineStr">
        <is>
          <t>N对战套装礼盒（简中）</t>
        </is>
      </c>
      <c r="C22" t="inlineStr">
        <is>
          <t>朱・紫 CSV10c</t>
        </is>
      </c>
      <c r="D22" t="inlineStr">
        <is>
          <t>已备份</t>
        </is>
      </c>
      <c r="E22" t="inlineStr">
        <is>
          <t>N对战套装礼盒（简中）</t>
        </is>
      </c>
      <c r="F22" t="inlineStr">
        <is>
          <t>csv10c-slim.png</t>
        </is>
      </c>
      <c r="G22" t="inlineStr">
        <is>
          <t>/products/csv10c-slim.png</t>
        </is>
      </c>
      <c r="H22" t="inlineStr"/>
      <c r="I22" t="inlineStr">
        <is>
          <t>DB status=上架</t>
        </is>
      </c>
    </row>
    <row r="23">
      <c r="A23" t="n">
        <v>78</v>
      </c>
      <c r="B23" t="inlineStr">
        <is>
          <t>伊布套装礼盒（简中）</t>
        </is>
      </c>
      <c r="C23" t="inlineStr">
        <is>
          <t>朱・紫 太晶盛聚</t>
        </is>
      </c>
      <c r="D23" t="inlineStr">
        <is>
          <t>已备份</t>
        </is>
      </c>
      <c r="E23" t="inlineStr">
        <is>
          <t>伊布套装礼盒（简中）</t>
        </is>
      </c>
      <c r="F23" t="inlineStr">
        <is>
          <t>eevee-gift-box.png</t>
        </is>
      </c>
      <c r="G23" t="inlineStr">
        <is>
          <t>/products/eevee-gift-box.png</t>
        </is>
      </c>
      <c r="H23" t="inlineStr"/>
      <c r="I23" t="inlineStr">
        <is>
          <t>DB status=上架</t>
        </is>
      </c>
    </row>
    <row r="24">
      <c r="A24" t="n">
        <v>79</v>
      </c>
      <c r="B24" t="inlineStr">
        <is>
          <t>大师战略卡组构筑套装 多龙巴鲁托ex（简中）</t>
        </is>
      </c>
      <c r="C24" t="inlineStr">
        <is>
          <t>朱・紫 CSV10c</t>
        </is>
      </c>
      <c r="D24" t="inlineStr">
        <is>
          <t>已备份</t>
        </is>
      </c>
      <c r="E24" t="inlineStr">
        <is>
          <t>大师战略卡组构筑套装 多龙巴鲁托ex（简中）</t>
        </is>
      </c>
      <c r="F24" t="inlineStr">
        <is>
          <t>csv10c-slim.png</t>
        </is>
      </c>
      <c r="G24" t="inlineStr">
        <is>
          <t>/products/csv10c-slim.png</t>
        </is>
      </c>
      <c r="H24" t="inlineStr"/>
      <c r="I24" t="inlineStr">
        <is>
          <t>DB status=上架</t>
        </is>
      </c>
    </row>
    <row r="25">
      <c r="A25" t="n">
        <v>80</v>
      </c>
      <c r="B25" t="inlineStr">
        <is>
          <t>大师战略卡组构筑套装 猛雷鼓ex（简中）</t>
        </is>
      </c>
      <c r="C25" t="inlineStr">
        <is>
          <t>朱・紫 CSV10c</t>
        </is>
      </c>
      <c r="D25" t="inlineStr">
        <is>
          <t>已备份</t>
        </is>
      </c>
      <c r="E25" t="inlineStr">
        <is>
          <t>大师战略卡组构筑套装 猛雷鼓ex（简中）</t>
        </is>
      </c>
      <c r="F25" t="inlineStr">
        <is>
          <t>csv10c-slim.png</t>
        </is>
      </c>
      <c r="G25" t="inlineStr">
        <is>
          <t>/products/csv10c-slim.png</t>
        </is>
      </c>
      <c r="H25" t="inlineStr"/>
      <c r="I25" t="inlineStr">
        <is>
          <t>DB status=上架</t>
        </is>
      </c>
    </row>
    <row r="26">
      <c r="A26" t="n">
        <v>81</v>
      </c>
      <c r="B26" t="inlineStr">
        <is>
          <t>大师战略卡组构筑套装 赛富豪ex（简中）</t>
        </is>
      </c>
      <c r="C26" t="inlineStr">
        <is>
          <t>朱・紫 CSV10c</t>
        </is>
      </c>
      <c r="D26" t="inlineStr">
        <is>
          <t>已备份</t>
        </is>
      </c>
      <c r="E26" t="inlineStr">
        <is>
          <t>大师战略卡组构筑套装 赛富豪ex（简中）</t>
        </is>
      </c>
      <c r="F26" t="inlineStr">
        <is>
          <t>csv10c-slim.png</t>
        </is>
      </c>
      <c r="G26" t="inlineStr">
        <is>
          <t>/products/csv10c-slim.png</t>
        </is>
      </c>
      <c r="H26" t="inlineStr"/>
      <c r="I26" t="inlineStr">
        <is>
          <t>DB status=上架</t>
        </is>
      </c>
    </row>
    <row r="27">
      <c r="A27" t="n">
        <v>82</v>
      </c>
      <c r="B27" t="inlineStr">
        <is>
          <t>宝可梦卡牌嗨皮组合（简中）</t>
        </is>
      </c>
      <c r="C27" t="inlineStr">
        <is>
          <t>朱・紫 CSV10c</t>
        </is>
      </c>
      <c r="D27" t="inlineStr">
        <is>
          <t>已备份</t>
        </is>
      </c>
      <c r="E27" t="inlineStr">
        <is>
          <t>宝可梦卡牌嗨皮组合（简中）</t>
        </is>
      </c>
      <c r="F27" t="inlineStr">
        <is>
          <t>csv10c-slim.png</t>
        </is>
      </c>
      <c r="G27" t="inlineStr">
        <is>
          <t>/products/csv10c-slim.png</t>
        </is>
      </c>
      <c r="H27" t="inlineStr"/>
      <c r="I27" t="inlineStr">
        <is>
          <t>DB status=上架</t>
        </is>
      </c>
    </row>
    <row r="28">
      <c r="A28" t="n">
        <v>83</v>
      </c>
      <c r="B28" t="inlineStr">
        <is>
          <t>火箭队的宏图专属礼盒（简中）</t>
        </is>
      </c>
      <c r="C28" t="inlineStr">
        <is>
          <t>朱・紫 CSV10c</t>
        </is>
      </c>
      <c r="D28" t="inlineStr">
        <is>
          <t>已备份</t>
        </is>
      </c>
      <c r="E28" t="inlineStr">
        <is>
          <t>火箭队的宏图专属礼盒（简中）</t>
        </is>
      </c>
      <c r="F28" t="inlineStr">
        <is>
          <t>csv10c-slim.png</t>
        </is>
      </c>
      <c r="G28" t="inlineStr">
        <is>
          <t>/products/csv10c-slim.png</t>
        </is>
      </c>
      <c r="H28" t="inlineStr"/>
      <c r="I28" t="inlineStr">
        <is>
          <t>DB status=上架</t>
        </is>
      </c>
    </row>
    <row r="29">
      <c r="A29" t="n">
        <v>84</v>
      </c>
      <c r="B29" t="inlineStr">
        <is>
          <t>莉莉艾对战套装礼盒（简中）</t>
        </is>
      </c>
      <c r="C29" t="inlineStr">
        <is>
          <t>朱・紫 CSV10c</t>
        </is>
      </c>
      <c r="D29" t="inlineStr">
        <is>
          <t>已备份</t>
        </is>
      </c>
      <c r="E29" t="inlineStr">
        <is>
          <t>莉莉艾对战套装礼盒（简中）</t>
        </is>
      </c>
      <c r="F29" t="inlineStr">
        <is>
          <t>csv10c-slim.png</t>
        </is>
      </c>
      <c r="G29" t="inlineStr">
        <is>
          <t>/products/csv10c-slim.png</t>
        </is>
      </c>
      <c r="H29" t="inlineStr"/>
      <c r="I29" t="inlineStr">
        <is>
          <t>DB status=上架</t>
        </is>
      </c>
    </row>
    <row r="30">
      <c r="A30" t="n">
        <v>85</v>
      </c>
      <c r="B30" t="inlineStr">
        <is>
          <t>补充包 强化扩张包 朱紫ex BOX（简中）</t>
        </is>
      </c>
      <c r="C30" t="inlineStr">
        <is>
          <t>朱・紫ex</t>
        </is>
      </c>
      <c r="D30" t="inlineStr">
        <is>
          <t>已备份</t>
        </is>
      </c>
      <c r="E30" t="inlineStr">
        <is>
          <t>补充包 强化扩张包 朱紫ex BOX（简中）</t>
        </is>
      </c>
      <c r="F30" t="inlineStr">
        <is>
          <t>csv1c-box.png</t>
        </is>
      </c>
      <c r="G30" t="inlineStr">
        <is>
          <t>/products/csv1c-box.png</t>
        </is>
      </c>
      <c r="H30" t="inlineStr"/>
      <c r="I30" t="inlineStr">
        <is>
          <t>DB status=上架</t>
        </is>
      </c>
    </row>
    <row r="31">
      <c r="A31" t="n">
        <v>88</v>
      </c>
      <c r="B31" t="inlineStr">
        <is>
          <t>雪危险+泥土猛击 双包（简中）</t>
        </is>
      </c>
      <c r="C31" t="inlineStr">
        <is>
          <t>朱・紫</t>
        </is>
      </c>
      <c r="D31" t="inlineStr">
        <is>
          <t>已备份</t>
        </is>
      </c>
      <c r="E31" t="inlineStr">
        <is>
          <t>雪危险+泥土猛击 双包（简中）</t>
        </is>
      </c>
      <c r="F31" t="inlineStr">
        <is>
          <t>sv2-double-box.png</t>
        </is>
      </c>
      <c r="G31" t="inlineStr">
        <is>
          <t>/products/sv2-double-box.png</t>
        </is>
      </c>
      <c r="H31" t="inlineStr"/>
      <c r="I31" t="inlineStr">
        <is>
          <t>DB status=上架</t>
        </is>
      </c>
    </row>
    <row r="32">
      <c r="A32" t="n">
        <v>89</v>
      </c>
      <c r="B32" t="inlineStr">
        <is>
          <t>黑炎霸主 BOX（简中）</t>
        </is>
      </c>
      <c r="C32" t="inlineStr">
        <is>
          <t>朱・紫</t>
        </is>
      </c>
      <c r="D32" t="inlineStr">
        <is>
          <t>已备份</t>
        </is>
      </c>
      <c r="E32" t="inlineStr">
        <is>
          <t>黑炎霸主 BOX（简中）</t>
        </is>
      </c>
      <c r="F32" t="inlineStr">
        <is>
          <t>sv3-box.png</t>
        </is>
      </c>
      <c r="G32" t="inlineStr">
        <is>
          <t>/products/sv3-box.png</t>
        </is>
      </c>
      <c r="H32" t="inlineStr"/>
      <c r="I32" t="inlineStr">
        <is>
          <t>DB status=上架</t>
        </is>
      </c>
    </row>
    <row r="33">
      <c r="A33" t="n">
        <v>92</v>
      </c>
      <c r="B33" t="inlineStr">
        <is>
          <t>宝石包第五弹 BOX（简中）</t>
        </is>
      </c>
      <c r="C33" t="inlineStr">
        <is>
          <t>宝石包</t>
        </is>
      </c>
      <c r="D33" t="inlineStr">
        <is>
          <t>已备份</t>
        </is>
      </c>
      <c r="E33" t="inlineStr">
        <is>
          <t>宝石包第五弹 BOX（简中）</t>
        </is>
      </c>
      <c r="F33" t="inlineStr">
        <is>
          <t>cbb5c-box.png</t>
        </is>
      </c>
      <c r="G33" t="inlineStr">
        <is>
          <t>/products/cbb5c-box.png</t>
        </is>
      </c>
      <c r="H33" t="inlineStr"/>
      <c r="I33" t="inlineStr">
        <is>
          <t>DB status=上架</t>
        </is>
      </c>
    </row>
    <row r="34">
      <c r="A34" t="n">
        <v>95</v>
      </c>
      <c r="B34" t="inlineStr">
        <is>
          <t>宝石包第四弹 BOX（简中）</t>
        </is>
      </c>
      <c r="C34" t="inlineStr">
        <is>
          <t>宝石包</t>
        </is>
      </c>
      <c r="D34" t="inlineStr">
        <is>
          <t>已备份</t>
        </is>
      </c>
      <c r="E34" t="inlineStr">
        <is>
          <t>宝石包第四弹 BOX（简中）</t>
        </is>
      </c>
      <c r="F34" t="inlineStr">
        <is>
          <t>cbb4c-box.png</t>
        </is>
      </c>
      <c r="G34" t="inlineStr">
        <is>
          <t>/products/cbb4c-box.png</t>
        </is>
      </c>
      <c r="H34" t="inlineStr"/>
      <c r="I34" t="inlineStr">
        <is>
          <t>DB status=上架</t>
        </is>
      </c>
    </row>
    <row r="35">
      <c r="A35" t="n">
        <v>98</v>
      </c>
      <c r="B35" t="inlineStr">
        <is>
          <t>宝石包第三弹 BOX（简中）</t>
        </is>
      </c>
      <c r="C35" t="inlineStr">
        <is>
          <t>宝石包</t>
        </is>
      </c>
      <c r="D35" t="inlineStr">
        <is>
          <t>已备份</t>
        </is>
      </c>
      <c r="E35" t="inlineStr">
        <is>
          <t>宝石包第三弹 BOX（简中）</t>
        </is>
      </c>
      <c r="F35" t="inlineStr">
        <is>
          <t>cbb3c-box.png</t>
        </is>
      </c>
      <c r="G35" t="inlineStr">
        <is>
          <t>/products/cbb3c-box.png</t>
        </is>
      </c>
      <c r="H35" t="inlineStr"/>
      <c r="I35" t="inlineStr">
        <is>
          <t>DB status=上架</t>
        </is>
      </c>
    </row>
    <row r="36">
      <c r="A36" t="n">
        <v>101</v>
      </c>
      <c r="B36" t="inlineStr">
        <is>
          <t>宝石包第二弹 BOX（简中）</t>
        </is>
      </c>
      <c r="C36" t="inlineStr">
        <is>
          <t>宝石包</t>
        </is>
      </c>
      <c r="D36" t="inlineStr">
        <is>
          <t>已备份</t>
        </is>
      </c>
      <c r="E36" t="inlineStr">
        <is>
          <t>宝石包第二弹 BOX（简中）</t>
        </is>
      </c>
      <c r="F36" t="inlineStr">
        <is>
          <t>cbb2c-box.png</t>
        </is>
      </c>
      <c r="G36" t="inlineStr">
        <is>
          <t>/products/cbb2c-box.png</t>
        </is>
      </c>
      <c r="H36" t="inlineStr"/>
      <c r="I36" t="inlineStr">
        <is>
          <t>DB status=上架</t>
        </is>
      </c>
    </row>
    <row r="37">
      <c r="A37" t="n">
        <v>104</v>
      </c>
      <c r="B37" t="inlineStr">
        <is>
          <t>宝石包第一弹 BOX（简中）</t>
        </is>
      </c>
      <c r="C37" t="inlineStr">
        <is>
          <t>宝石包</t>
        </is>
      </c>
      <c r="D37" t="inlineStr">
        <is>
          <t>已备份</t>
        </is>
      </c>
      <c r="E37" t="inlineStr">
        <is>
          <t>宝石包第一弹 BOX（简中）</t>
        </is>
      </c>
      <c r="F37" t="inlineStr">
        <is>
          <t>cbb1c-box.png</t>
        </is>
      </c>
      <c r="G37" t="inlineStr">
        <is>
          <t>/products/cbb1c-box.png</t>
        </is>
      </c>
      <c r="H37" t="inlineStr"/>
      <c r="I37" t="inlineStr">
        <is>
          <t>DB status=上架</t>
        </is>
      </c>
    </row>
    <row r="38">
      <c r="A38" t="n">
        <v>110</v>
      </c>
      <c r="B38" t="inlineStr">
        <is>
          <t>强化包 胜象星引 BOX（简中）</t>
        </is>
      </c>
      <c r="C38" t="inlineStr">
        <is>
          <t>剑&amp;盾 CS6.5</t>
        </is>
      </c>
      <c r="D38" t="inlineStr">
        <is>
          <t>已备份</t>
        </is>
      </c>
      <c r="E38" t="inlineStr">
        <is>
          <t>强化包 胜象星引 BOX（简中）</t>
        </is>
      </c>
      <c r="F38" t="inlineStr">
        <is>
          <t>cs65-box.png</t>
        </is>
      </c>
      <c r="G38" t="inlineStr">
        <is>
          <t>/products/cs65-box.png</t>
        </is>
      </c>
      <c r="H38" t="inlineStr"/>
      <c r="I38" t="inlineStr">
        <is>
          <t>DB status=上架</t>
        </is>
      </c>
    </row>
    <row r="39">
      <c r="A39" t="n">
        <v>113</v>
      </c>
      <c r="B39" t="inlineStr">
        <is>
          <t>补充包 碧海暗影 啸 瘦盒 BOX（简中）</t>
        </is>
      </c>
      <c r="C39" t="inlineStr">
        <is>
          <t>剑&amp;盾 CS6a 碧海暗影 啸</t>
        </is>
      </c>
      <c r="D39" t="inlineStr">
        <is>
          <t>已备份</t>
        </is>
      </c>
      <c r="E39" t="inlineStr">
        <is>
          <t>补充包 碧海暗影 啸 瘦盒 BOX（简中）</t>
        </is>
      </c>
      <c r="F39" t="inlineStr">
        <is>
          <t>cs6a-box.png</t>
        </is>
      </c>
      <c r="G39" t="inlineStr">
        <is>
          <t>/products/cs6a-box.png</t>
        </is>
      </c>
      <c r="H39" t="inlineStr"/>
      <c r="I39" t="inlineStr">
        <is>
          <t>DB status=上架</t>
        </is>
      </c>
    </row>
    <row r="40">
      <c r="A40" t="n">
        <v>116</v>
      </c>
      <c r="B40" t="inlineStr">
        <is>
          <t>补充包 碧海暗影 啸 肥盒 BOX（简中）</t>
        </is>
      </c>
      <c r="C40" t="inlineStr">
        <is>
          <t>剑&amp;盾 CS6a</t>
        </is>
      </c>
      <c r="D40" t="inlineStr">
        <is>
          <t>已备份</t>
        </is>
      </c>
      <c r="E40" t="inlineStr">
        <is>
          <t>补充包 碧海暗影 啸 肥盒 BOX（简中）</t>
        </is>
      </c>
      <c r="F40" t="inlineStr">
        <is>
          <t>cs6a-box.png</t>
        </is>
      </c>
      <c r="G40" t="inlineStr">
        <is>
          <t>/products/cs6a-box.png</t>
        </is>
      </c>
      <c r="H40" t="inlineStr"/>
      <c r="I40" t="inlineStr">
        <is>
          <t>DB status=下架</t>
        </is>
      </c>
    </row>
    <row r="41">
      <c r="A41" t="n">
        <v>119</v>
      </c>
      <c r="B41" t="inlineStr">
        <is>
          <t>补充包 碧海暗影 逐 瘦盒 BOX（简中）</t>
        </is>
      </c>
      <c r="C41" t="inlineStr">
        <is>
          <t>剑&amp;盾 CS6b 碧海暗影 逐</t>
        </is>
      </c>
      <c r="D41" t="inlineStr">
        <is>
          <t>已备份</t>
        </is>
      </c>
      <c r="E41" t="inlineStr">
        <is>
          <t>补充包 碧海暗影 逐 瘦盒 BOX（简中）</t>
        </is>
      </c>
      <c r="F41" t="inlineStr">
        <is>
          <t>cs6b-slim.png</t>
        </is>
      </c>
      <c r="G41" t="inlineStr">
        <is>
          <t>/products/cs6b-slim.png</t>
        </is>
      </c>
      <c r="H41" t="inlineStr"/>
      <c r="I41" t="inlineStr">
        <is>
          <t>DB status=上架</t>
        </is>
      </c>
    </row>
    <row r="42">
      <c r="A42" t="n">
        <v>122</v>
      </c>
      <c r="B42" t="inlineStr">
        <is>
          <t>补充包 碧海暗影 逐 肥盒 BOX（简中）</t>
        </is>
      </c>
      <c r="C42" t="inlineStr">
        <is>
          <t>剑&amp;盾 CS6b 碧海暗影 逐</t>
        </is>
      </c>
      <c r="D42" t="inlineStr">
        <is>
          <t>已备份</t>
        </is>
      </c>
      <c r="E42" t="inlineStr">
        <is>
          <t>补充包 碧海暗影 逐 肥盒 BOX（简中）</t>
        </is>
      </c>
      <c r="F42" t="inlineStr">
        <is>
          <t>cs6b-fat.png</t>
        </is>
      </c>
      <c r="G42" t="inlineStr">
        <is>
          <t>/products/cs6b-fat.png</t>
        </is>
      </c>
      <c r="H42" t="inlineStr"/>
      <c r="I42" t="inlineStr">
        <is>
          <t>DB status=上架</t>
        </is>
      </c>
    </row>
    <row r="43">
      <c r="A43" t="n">
        <v>126</v>
      </c>
      <c r="B43" t="inlineStr">
        <is>
          <t>强化包 暗影夺辉 BOX（简中）</t>
        </is>
      </c>
      <c r="C43" t="inlineStr">
        <is>
          <t>剑&amp;盾 CS5.5</t>
        </is>
      </c>
      <c r="D43" t="inlineStr">
        <is>
          <t>已备份</t>
        </is>
      </c>
      <c r="E43" t="inlineStr">
        <is>
          <t>强化包 暗影夺辉 BOX（简中）</t>
        </is>
      </c>
      <c r="F43" t="inlineStr">
        <is>
          <t>cs55-box.png</t>
        </is>
      </c>
      <c r="G43" t="inlineStr">
        <is>
          <t>/products/cs55-box.png</t>
        </is>
      </c>
      <c r="H43" t="inlineStr"/>
      <c r="I43" t="inlineStr">
        <is>
          <t>DB status=上架</t>
        </is>
      </c>
    </row>
    <row r="44">
      <c r="A44" t="n">
        <v>129</v>
      </c>
      <c r="B44" t="inlineStr">
        <is>
          <t>补充包 勇魅群星 勇 瘦盒 BOX（简中）</t>
        </is>
      </c>
      <c r="C44" t="inlineStr">
        <is>
          <t>剑&amp;盾 CS5b</t>
        </is>
      </c>
      <c r="D44" t="inlineStr">
        <is>
          <t>已备份</t>
        </is>
      </c>
      <c r="E44" t="inlineStr">
        <is>
          <t>补充包 勇魅群星 勇 瘦盒 BOX（简中）</t>
        </is>
      </c>
      <c r="F44" t="inlineStr">
        <is>
          <t>cs5b-slim.png</t>
        </is>
      </c>
      <c r="G44" t="inlineStr">
        <is>
          <t>/products/cs5b-slim.png</t>
        </is>
      </c>
      <c r="H44" t="inlineStr"/>
      <c r="I44" t="inlineStr">
        <is>
          <t>DB status=上架</t>
        </is>
      </c>
    </row>
    <row r="45">
      <c r="A45" t="n">
        <v>132</v>
      </c>
      <c r="B45" t="inlineStr">
        <is>
          <t>补充包 勇魅群星 勇 肥盒 BOX（简中）</t>
        </is>
      </c>
      <c r="C45" t="inlineStr">
        <is>
          <t>剑&amp;盾 CS5b</t>
        </is>
      </c>
      <c r="D45" t="inlineStr">
        <is>
          <t>已备份</t>
        </is>
      </c>
      <c r="E45" t="inlineStr">
        <is>
          <t>补充包 勇魅群星 勇 肥盒 BOX（简中）</t>
        </is>
      </c>
      <c r="F45" t="inlineStr">
        <is>
          <t>cs5b-slim.png</t>
        </is>
      </c>
      <c r="G45" t="inlineStr">
        <is>
          <t>/products/cs5b-slim.png</t>
        </is>
      </c>
      <c r="H45" t="inlineStr"/>
      <c r="I45" t="inlineStr">
        <is>
          <t>DB status=下架</t>
        </is>
      </c>
    </row>
    <row r="46">
      <c r="A46" t="n">
        <v>135</v>
      </c>
      <c r="B46" t="inlineStr">
        <is>
          <t>补充包 勇魅群星 魅 瘦盒 BOX（简中）</t>
        </is>
      </c>
      <c r="C46" t="inlineStr">
        <is>
          <t>剑&amp;盾 CS5a</t>
        </is>
      </c>
      <c r="D46" t="inlineStr">
        <is>
          <t>已备份</t>
        </is>
      </c>
      <c r="E46" t="inlineStr">
        <is>
          <t>补充包 勇魅群星 魅 瘦盒 BOX（简中）</t>
        </is>
      </c>
      <c r="F46" t="inlineStr">
        <is>
          <t>cs5a-slim.png</t>
        </is>
      </c>
      <c r="G46" t="inlineStr">
        <is>
          <t>/products/cs5a-slim.png</t>
        </is>
      </c>
      <c r="H46" t="inlineStr"/>
      <c r="I46" t="inlineStr">
        <is>
          <t>DB status=上架</t>
        </is>
      </c>
    </row>
    <row r="47">
      <c r="A47" t="n">
        <v>138</v>
      </c>
      <c r="B47" t="inlineStr">
        <is>
          <t>补充包 勇魅群星 魅 肥盒 BOX（简中）</t>
        </is>
      </c>
      <c r="C47" t="inlineStr">
        <is>
          <t>剑&amp;盾 CS5a</t>
        </is>
      </c>
      <c r="D47" t="inlineStr">
        <is>
          <t>已备份</t>
        </is>
      </c>
      <c r="E47" t="inlineStr">
        <is>
          <t>补充包 勇魅群星 魅 肥盒 BOX（简中）</t>
        </is>
      </c>
      <c r="F47" t="inlineStr">
        <is>
          <t>cs5a-slim.png</t>
        </is>
      </c>
      <c r="G47" t="inlineStr">
        <is>
          <t>/products/cs5a-slim.png</t>
        </is>
      </c>
      <c r="H47" t="inlineStr"/>
      <c r="I47" t="inlineStr">
        <is>
          <t>DB status=下架</t>
        </is>
      </c>
    </row>
    <row r="48">
      <c r="A48" t="n">
        <v>142</v>
      </c>
      <c r="B48" t="inlineStr">
        <is>
          <t>强化包 终末炎舞 BOX（简中）</t>
        </is>
      </c>
      <c r="C48" t="inlineStr">
        <is>
          <t>剑&amp;盾 CS4.5</t>
        </is>
      </c>
      <c r="D48" t="inlineStr">
        <is>
          <t>已备份</t>
        </is>
      </c>
      <c r="E48" t="inlineStr">
        <is>
          <t>强化包 终末炎舞 BOX（简中）</t>
        </is>
      </c>
      <c r="F48" t="inlineStr">
        <is>
          <t>cs45-box.png</t>
        </is>
      </c>
      <c r="G48" t="inlineStr">
        <is>
          <t>/products/cs45-box.png</t>
        </is>
      </c>
      <c r="H48" t="inlineStr"/>
      <c r="I48" t="inlineStr">
        <is>
          <t>DB status=上架</t>
        </is>
      </c>
    </row>
    <row r="49">
      <c r="A49" t="n">
        <v>145</v>
      </c>
      <c r="B49" t="inlineStr">
        <is>
          <t>补充包 九彩汇聚 朋 瘦盒 BOX（简中）</t>
        </is>
      </c>
      <c r="C49" t="inlineStr">
        <is>
          <t>剑&amp;盾 CS4a</t>
        </is>
      </c>
      <c r="D49" t="inlineStr">
        <is>
          <t>已备份</t>
        </is>
      </c>
      <c r="E49" t="inlineStr">
        <is>
          <t>补充包 九彩汇聚 朋 瘦盒 BOX（简中）</t>
        </is>
      </c>
      <c r="F49" t="inlineStr">
        <is>
          <t>cs4a-slim.png</t>
        </is>
      </c>
      <c r="G49" t="inlineStr">
        <is>
          <t>/products/cs4a-slim.png</t>
        </is>
      </c>
      <c r="H49" t="inlineStr"/>
      <c r="I49" t="inlineStr">
        <is>
          <t>DB status=上架</t>
        </is>
      </c>
    </row>
    <row r="50">
      <c r="A50" t="n">
        <v>148</v>
      </c>
      <c r="B50" t="inlineStr">
        <is>
          <t>补充包 九彩汇聚 朋 肥盒 BOX（简中）</t>
        </is>
      </c>
      <c r="C50" t="inlineStr">
        <is>
          <t>剑&amp;盾 CS4a</t>
        </is>
      </c>
      <c r="D50" t="inlineStr">
        <is>
          <t>已备份</t>
        </is>
      </c>
      <c r="E50" t="inlineStr">
        <is>
          <t>补充包 九彩汇聚 朋 肥盒 BOX（简中）</t>
        </is>
      </c>
      <c r="F50" t="inlineStr">
        <is>
          <t>cs4a-slim.png</t>
        </is>
      </c>
      <c r="G50" t="inlineStr">
        <is>
          <t>/products/cs4a-slim.png</t>
        </is>
      </c>
      <c r="H50" t="inlineStr"/>
      <c r="I50" t="inlineStr">
        <is>
          <t>DB status=下架</t>
        </is>
      </c>
    </row>
    <row r="51">
      <c r="A51" t="n">
        <v>151</v>
      </c>
      <c r="B51" t="inlineStr">
        <is>
          <t>补充包 九彩汇聚 源 瘦盒 BOX（简中）</t>
        </is>
      </c>
      <c r="C51" t="inlineStr">
        <is>
          <t>剑&amp;盾 CS4b</t>
        </is>
      </c>
      <c r="D51" t="inlineStr">
        <is>
          <t>已备份</t>
        </is>
      </c>
      <c r="E51" t="inlineStr">
        <is>
          <t>补充包 九彩汇聚 源 瘦盒 BOX（简中）</t>
        </is>
      </c>
      <c r="F51" t="inlineStr">
        <is>
          <t>cs4b-slim.png</t>
        </is>
      </c>
      <c r="G51" t="inlineStr">
        <is>
          <t>/products/cs4b-slim.png</t>
        </is>
      </c>
      <c r="H51" t="inlineStr"/>
      <c r="I51" t="inlineStr">
        <is>
          <t>DB status=上架</t>
        </is>
      </c>
    </row>
    <row r="52">
      <c r="A52" t="n">
        <v>154</v>
      </c>
      <c r="B52" t="inlineStr">
        <is>
          <t>补充包 九彩汇聚 源 肥盒 BOX（简中）</t>
        </is>
      </c>
      <c r="C52" t="inlineStr">
        <is>
          <t>剑&amp;盾 CS4b</t>
        </is>
      </c>
      <c r="D52" t="inlineStr">
        <is>
          <t>已备份</t>
        </is>
      </c>
      <c r="E52" t="inlineStr">
        <is>
          <t>补充包 九彩汇聚 源 肥盒 BOX（简中）</t>
        </is>
      </c>
      <c r="F52" t="inlineStr">
        <is>
          <t>cs4b-slim.png</t>
        </is>
      </c>
      <c r="G52" t="inlineStr">
        <is>
          <t>/products/cs4b-slim.png</t>
        </is>
      </c>
      <c r="H52" t="inlineStr"/>
      <c r="I52" t="inlineStr">
        <is>
          <t>DB status=下架</t>
        </is>
      </c>
    </row>
    <row r="53">
      <c r="A53" t="n">
        <v>158</v>
      </c>
      <c r="B53" t="inlineStr">
        <is>
          <t>强化包 怒炎灼天 BOX（简中）</t>
        </is>
      </c>
      <c r="C53" t="inlineStr">
        <is>
          <t>剑&amp;盾 CS3.5</t>
        </is>
      </c>
      <c r="D53" t="inlineStr">
        <is>
          <t>已备份</t>
        </is>
      </c>
      <c r="E53" t="inlineStr">
        <is>
          <t>强化包 怒炎灼天 BOX（简中）</t>
        </is>
      </c>
      <c r="F53" t="inlineStr">
        <is>
          <t>cs35-box.png</t>
        </is>
      </c>
      <c r="G53" t="inlineStr">
        <is>
          <t>/products/cs35-box.png</t>
        </is>
      </c>
      <c r="H53" t="inlineStr"/>
      <c r="I53" t="inlineStr">
        <is>
          <t>DB status=上架</t>
        </is>
      </c>
    </row>
    <row r="54">
      <c r="A54" t="n">
        <v>161</v>
      </c>
      <c r="B54" t="inlineStr">
        <is>
          <t>补充包 洪荒演武 激 瘦盒 BOX（简中）</t>
        </is>
      </c>
      <c r="C54" t="inlineStr">
        <is>
          <t>剑&amp;盾 CS3b</t>
        </is>
      </c>
      <c r="D54" t="inlineStr">
        <is>
          <t>已备份</t>
        </is>
      </c>
      <c r="E54" t="inlineStr">
        <is>
          <t>补充包 洪荒演武 激 瘦盒 BOX（简中）</t>
        </is>
      </c>
      <c r="F54" t="inlineStr">
        <is>
          <t>cs3b-slim.png</t>
        </is>
      </c>
      <c r="G54" t="inlineStr">
        <is>
          <t>/products/cs3b-slim.png</t>
        </is>
      </c>
      <c r="H54" t="inlineStr"/>
      <c r="I54" t="inlineStr">
        <is>
          <t>DB status=上架</t>
        </is>
      </c>
    </row>
    <row r="55">
      <c r="A55" t="n">
        <v>164</v>
      </c>
      <c r="B55" t="inlineStr">
        <is>
          <t>补充包 洪荒演武 激 肥盒 BOX（简中）</t>
        </is>
      </c>
      <c r="C55" t="inlineStr">
        <is>
          <t>剑&amp;盾 CS3b</t>
        </is>
      </c>
      <c r="D55" t="inlineStr">
        <is>
          <t>已备份</t>
        </is>
      </c>
      <c r="E55" t="inlineStr">
        <is>
          <t>补充包 洪荒演武 激 肥盒 BOX（简中）</t>
        </is>
      </c>
      <c r="F55" t="inlineStr">
        <is>
          <t>cs3b-slim.png</t>
        </is>
      </c>
      <c r="G55" t="inlineStr">
        <is>
          <t>/products/cs3b-slim.png</t>
        </is>
      </c>
      <c r="H55" t="inlineStr"/>
      <c r="I55" t="inlineStr">
        <is>
          <t>DB status=下架</t>
        </is>
      </c>
    </row>
    <row r="56">
      <c r="A56" t="n">
        <v>167</v>
      </c>
      <c r="B56" t="inlineStr">
        <is>
          <t>补充包 洪荒演武 茂 瘦盒 BOX（简中）</t>
        </is>
      </c>
      <c r="C56" t="inlineStr">
        <is>
          <t>剑&amp;盾 CS3a</t>
        </is>
      </c>
      <c r="D56" t="inlineStr">
        <is>
          <t>已备份</t>
        </is>
      </c>
      <c r="E56" t="inlineStr">
        <is>
          <t>补充包 洪荒演武 茂 瘦盒 BOX（简中）</t>
        </is>
      </c>
      <c r="F56" t="inlineStr">
        <is>
          <t>cs3a-slim.png</t>
        </is>
      </c>
      <c r="G56" t="inlineStr">
        <is>
          <t>/products/cs3a-slim.png</t>
        </is>
      </c>
      <c r="H56" t="inlineStr"/>
      <c r="I56" t="inlineStr">
        <is>
          <t>DB status=上架</t>
        </is>
      </c>
    </row>
    <row r="57">
      <c r="A57" t="n">
        <v>170</v>
      </c>
      <c r="B57" t="inlineStr">
        <is>
          <t>补充包 洪荒演武 茂 肥盒 BOX（简中）</t>
        </is>
      </c>
      <c r="C57" t="inlineStr">
        <is>
          <t>剑&amp;盾 CS3a</t>
        </is>
      </c>
      <c r="D57" t="inlineStr">
        <is>
          <t>已备份</t>
        </is>
      </c>
      <c r="E57" t="inlineStr">
        <is>
          <t>补充包 洪荒演武 茂 肥盒 BOX（简中）</t>
        </is>
      </c>
      <c r="F57" t="inlineStr">
        <is>
          <t>cs3a-slim.png</t>
        </is>
      </c>
      <c r="G57" t="inlineStr">
        <is>
          <t>/products/cs3a-slim.png</t>
        </is>
      </c>
      <c r="H57" t="inlineStr"/>
      <c r="I57" t="inlineStr">
        <is>
          <t>DB status=下架</t>
        </is>
      </c>
    </row>
    <row r="58">
      <c r="A58" t="n">
        <v>174</v>
      </c>
      <c r="B58" t="inlineStr">
        <is>
          <t>强化包 璀璨反击 BOX（简中）</t>
        </is>
      </c>
      <c r="C58" t="inlineStr">
        <is>
          <t>剑&amp;盾 CS2.5</t>
        </is>
      </c>
      <c r="D58" t="inlineStr">
        <is>
          <t>已备份</t>
        </is>
      </c>
      <c r="E58" t="inlineStr">
        <is>
          <t>强化包 璀璨反击 BOX（简中）</t>
        </is>
      </c>
      <c r="F58" t="inlineStr">
        <is>
          <t>cs25-box.png</t>
        </is>
      </c>
      <c r="G58" t="inlineStr">
        <is>
          <t>/products/cs25-box.png</t>
        </is>
      </c>
      <c r="H58" t="inlineStr"/>
      <c r="I58" t="inlineStr">
        <is>
          <t>DB status=上架</t>
        </is>
      </c>
    </row>
    <row r="59">
      <c r="A59" t="n">
        <v>177</v>
      </c>
      <c r="B59" t="inlineStr">
        <is>
          <t>补充包 浓墨重彩 靛 瘦盒 BOX（简中）</t>
        </is>
      </c>
      <c r="C59" t="inlineStr">
        <is>
          <t>剑&amp;盾 CS2b</t>
        </is>
      </c>
      <c r="D59" t="inlineStr">
        <is>
          <t>已备份</t>
        </is>
      </c>
      <c r="E59" t="inlineStr">
        <is>
          <t>补充包 浓墨重彩 靛 瘦盒 BOX（简中）</t>
        </is>
      </c>
      <c r="F59" t="inlineStr">
        <is>
          <t>cs2b-box.png</t>
        </is>
      </c>
      <c r="G59" t="inlineStr">
        <is>
          <t>/products/cs2b-box.png</t>
        </is>
      </c>
      <c r="H59" t="inlineStr"/>
      <c r="I59" t="inlineStr">
        <is>
          <t>DB status=上架</t>
        </is>
      </c>
    </row>
    <row r="60">
      <c r="A60" t="n">
        <v>180</v>
      </c>
      <c r="B60" t="inlineStr">
        <is>
          <t>补充包 浓墨重彩 靛 肥盒 BOX（简中）</t>
        </is>
      </c>
      <c r="C60" t="inlineStr">
        <is>
          <t>剑&amp;盾 CS2b</t>
        </is>
      </c>
      <c r="D60" t="inlineStr">
        <is>
          <t>已备份</t>
        </is>
      </c>
      <c r="E60" t="inlineStr">
        <is>
          <t>补充包 浓墨重彩 靛 肥盒 BOX（简中）</t>
        </is>
      </c>
      <c r="F60" t="inlineStr">
        <is>
          <t>cs2b-box.png</t>
        </is>
      </c>
      <c r="G60" t="inlineStr">
        <is>
          <t>/products/cs2b-box.png</t>
        </is>
      </c>
      <c r="H60" t="inlineStr"/>
      <c r="I60" t="inlineStr">
        <is>
          <t>DB status=下架</t>
        </is>
      </c>
    </row>
    <row r="61">
      <c r="A61" t="n">
        <v>183</v>
      </c>
      <c r="B61" t="inlineStr">
        <is>
          <t>补充包 浓墨重彩 黎 瘦盒 BOX（简中）</t>
        </is>
      </c>
      <c r="C61" t="inlineStr">
        <is>
          <t>剑&amp;盾 CS2a</t>
        </is>
      </c>
      <c r="D61" t="inlineStr">
        <is>
          <t>已备份</t>
        </is>
      </c>
      <c r="E61" t="inlineStr">
        <is>
          <t>补充包 浓墨重彩 黎 瘦盒 BOX（简中）</t>
        </is>
      </c>
      <c r="F61" t="inlineStr">
        <is>
          <t>cs2a-box.png</t>
        </is>
      </c>
      <c r="G61" t="inlineStr">
        <is>
          <t>/products/cs2a-box.png</t>
        </is>
      </c>
      <c r="H61" t="inlineStr"/>
      <c r="I61" t="inlineStr">
        <is>
          <t>DB status=上架</t>
        </is>
      </c>
    </row>
    <row r="62">
      <c r="A62" t="n">
        <v>186</v>
      </c>
      <c r="B62" t="inlineStr">
        <is>
          <t>补充包 浓墨重彩 黎 肥盒 BOX（简中）</t>
        </is>
      </c>
      <c r="C62" t="inlineStr">
        <is>
          <t>剑&amp;盾 CS2a</t>
        </is>
      </c>
      <c r="D62" t="inlineStr">
        <is>
          <t>已备份</t>
        </is>
      </c>
      <c r="E62" t="inlineStr">
        <is>
          <t>补充包 浓墨重彩 黎 肥盒 BOX（简中）</t>
        </is>
      </c>
      <c r="F62" t="inlineStr">
        <is>
          <t>cs2a-box.png</t>
        </is>
      </c>
      <c r="G62" t="inlineStr">
        <is>
          <t>/products/cs2a-box.png</t>
        </is>
      </c>
      <c r="H62" t="inlineStr"/>
      <c r="I62" t="inlineStr">
        <is>
          <t>DB status=下架</t>
        </is>
      </c>
    </row>
    <row r="63">
      <c r="A63" t="n">
        <v>190</v>
      </c>
      <c r="B63" t="inlineStr">
        <is>
          <t>强化包 极巨攻防 BOX（简中）</t>
        </is>
      </c>
      <c r="C63" t="inlineStr">
        <is>
          <t>剑&amp;盾 CS1.5</t>
        </is>
      </c>
      <c r="D63" t="inlineStr">
        <is>
          <t>已备份</t>
        </is>
      </c>
      <c r="E63" t="inlineStr">
        <is>
          <t>强化包 极巨攻防 BOX（简中）</t>
        </is>
      </c>
      <c r="F63" t="inlineStr">
        <is>
          <t>cs15-box.png</t>
        </is>
      </c>
      <c r="G63" t="inlineStr">
        <is>
          <t>/products/cs15-box.png</t>
        </is>
      </c>
      <c r="H63" t="inlineStr"/>
      <c r="I63" t="inlineStr">
        <is>
          <t>DB status=上架</t>
        </is>
      </c>
    </row>
    <row r="64">
      <c r="A64" t="n">
        <v>193</v>
      </c>
      <c r="B64" t="inlineStr">
        <is>
          <t>补充包 极巨争锋 焰 瘦盒 BOX（简中）</t>
        </is>
      </c>
      <c r="C64" t="inlineStr">
        <is>
          <t>剑&amp;盾 CS1b</t>
        </is>
      </c>
      <c r="D64" t="inlineStr">
        <is>
          <t>已备份</t>
        </is>
      </c>
      <c r="E64" t="inlineStr">
        <is>
          <t>补充包 极巨争锋 焰 瘦盒 BOX（简中）</t>
        </is>
      </c>
      <c r="F64" t="inlineStr">
        <is>
          <t>cs1b-box.png</t>
        </is>
      </c>
      <c r="G64" t="inlineStr">
        <is>
          <t>/products/cs1b-box.png</t>
        </is>
      </c>
      <c r="H64" t="inlineStr"/>
      <c r="I64" t="inlineStr">
        <is>
          <t>DB status=上架</t>
        </is>
      </c>
    </row>
    <row r="65">
      <c r="A65" t="n">
        <v>196</v>
      </c>
      <c r="B65" t="inlineStr">
        <is>
          <t>补充包 极巨争锋 焰 肥盒 BOX（简中）</t>
        </is>
      </c>
      <c r="C65" t="inlineStr">
        <is>
          <t>剑&amp;盾 CS1b</t>
        </is>
      </c>
      <c r="D65" t="inlineStr">
        <is>
          <t>已备份</t>
        </is>
      </c>
      <c r="E65" t="inlineStr">
        <is>
          <t>补充包 极巨争锋 焰 肥盒 BOX（简中）</t>
        </is>
      </c>
      <c r="F65" t="inlineStr">
        <is>
          <t>cs1b-box.png</t>
        </is>
      </c>
      <c r="G65" t="inlineStr">
        <is>
          <t>/products/cs1b-box.png</t>
        </is>
      </c>
      <c r="H65" t="inlineStr"/>
      <c r="I65" t="inlineStr">
        <is>
          <t>DB status=下架</t>
        </is>
      </c>
    </row>
    <row r="66">
      <c r="A66" t="n">
        <v>199</v>
      </c>
      <c r="B66" t="inlineStr">
        <is>
          <t>补充包 极巨争锋 雷 瘦盒 BOX（简中）</t>
        </is>
      </c>
      <c r="C66" t="inlineStr">
        <is>
          <t>剑&amp;盾 CS1a</t>
        </is>
      </c>
      <c r="D66" t="inlineStr">
        <is>
          <t>已备份</t>
        </is>
      </c>
      <c r="E66" t="inlineStr">
        <is>
          <t>补充包 极巨争锋 雷 瘦盒 BOX（简中）</t>
        </is>
      </c>
      <c r="F66" t="inlineStr">
        <is>
          <t>cs1a-box.png</t>
        </is>
      </c>
      <c r="G66" t="inlineStr">
        <is>
          <t>/products/cs1a-box.png</t>
        </is>
      </c>
      <c r="H66" t="inlineStr"/>
      <c r="I66" t="inlineStr">
        <is>
          <t>DB status=上架</t>
        </is>
      </c>
    </row>
    <row r="67">
      <c r="A67" t="n">
        <v>202</v>
      </c>
      <c r="B67" t="inlineStr">
        <is>
          <t>补充包 极巨争锋 雷 肥盒 BOX（简中）</t>
        </is>
      </c>
      <c r="C67" t="inlineStr">
        <is>
          <t>剑&amp;盾 CS1a</t>
        </is>
      </c>
      <c r="D67" t="inlineStr">
        <is>
          <t>已备份</t>
        </is>
      </c>
      <c r="E67" t="inlineStr">
        <is>
          <t>补充包 极巨争锋 雷 肥盒 BOX（简中）</t>
        </is>
      </c>
      <c r="F67" t="inlineStr">
        <is>
          <t>cs1a-box.png</t>
        </is>
      </c>
      <c r="G67" t="inlineStr">
        <is>
          <t>/products/cs1a-box.png</t>
        </is>
      </c>
      <c r="H67" t="inlineStr"/>
      <c r="I67" t="inlineStr">
        <is>
          <t>DB status=下架</t>
        </is>
      </c>
    </row>
    <row r="68">
      <c r="A68" t="n">
        <v>208</v>
      </c>
      <c r="B68" t="inlineStr">
        <is>
          <t>强化包 第二弹 BOX（简中）</t>
        </is>
      </c>
      <c r="C68" t="inlineStr">
        <is>
          <t>太阳&amp;月亮 CSM2.5</t>
        </is>
      </c>
      <c r="D68" t="inlineStr">
        <is>
          <t>已备份</t>
        </is>
      </c>
      <c r="E68" t="inlineStr">
        <is>
          <t>强化包 第二弹 BOX（简中）</t>
        </is>
      </c>
      <c r="F68" t="inlineStr">
        <is>
          <t>sm25-box.webp</t>
        </is>
      </c>
      <c r="G68" t="inlineStr">
        <is>
          <t>/products/sm25-box.webp</t>
        </is>
      </c>
      <c r="H68" t="inlineStr"/>
      <c r="I68" t="inlineStr">
        <is>
          <t>DB status=上架</t>
        </is>
      </c>
    </row>
    <row r="69">
      <c r="A69" t="n">
        <v>212</v>
      </c>
      <c r="B69" t="inlineStr">
        <is>
          <t>补充包 交相辉映 唤 BOX（简中）</t>
        </is>
      </c>
      <c r="C69" t="inlineStr">
        <is>
          <t>太阳&amp;月亮 CSM2c</t>
        </is>
      </c>
      <c r="D69" t="inlineStr">
        <is>
          <t>已备份</t>
        </is>
      </c>
      <c r="E69" t="inlineStr">
        <is>
          <t>补充包 交相辉映 唤 BOX（简中）</t>
        </is>
      </c>
      <c r="F69" t="inlineStr">
        <is>
          <t>csm2c-box.png</t>
        </is>
      </c>
      <c r="G69" t="inlineStr">
        <is>
          <t>/products/csm2c-box.png</t>
        </is>
      </c>
      <c r="H69" t="inlineStr"/>
      <c r="I69" t="inlineStr">
        <is>
          <t>DB status=下架</t>
        </is>
      </c>
    </row>
    <row r="70">
      <c r="A70" t="n">
        <v>215</v>
      </c>
      <c r="B70" t="inlineStr">
        <is>
          <t>补充包 交相辉映 沐 BOX（简中）</t>
        </is>
      </c>
      <c r="C70" t="inlineStr">
        <is>
          <t>太阳&amp;月亮 CSM2a</t>
        </is>
      </c>
      <c r="D70" t="inlineStr">
        <is>
          <t>已备份</t>
        </is>
      </c>
      <c r="E70" t="inlineStr">
        <is>
          <t>补充包 交相辉映 沐 BOX（简中）</t>
        </is>
      </c>
      <c r="F70" t="inlineStr">
        <is>
          <t>csm2a-box.png</t>
        </is>
      </c>
      <c r="G70" t="inlineStr">
        <is>
          <t>/products/csm2a-box.png</t>
        </is>
      </c>
      <c r="H70" t="inlineStr"/>
      <c r="I70" t="inlineStr">
        <is>
          <t>DB status=下架</t>
        </is>
      </c>
    </row>
    <row r="71">
      <c r="A71" t="n">
        <v>218</v>
      </c>
      <c r="B71" t="inlineStr">
        <is>
          <t>补充包 交相辉映 魁 BOX（简中）</t>
        </is>
      </c>
      <c r="C71" t="inlineStr">
        <is>
          <t>太阳&amp;月亮 CSM2b</t>
        </is>
      </c>
      <c r="D71" t="inlineStr">
        <is>
          <t>已备份</t>
        </is>
      </c>
      <c r="E71" t="inlineStr">
        <is>
          <t>补充包 交相辉映 魁 BOX（简中）</t>
        </is>
      </c>
      <c r="F71" t="inlineStr">
        <is>
          <t>csm2b-box.png</t>
        </is>
      </c>
      <c r="G71" t="inlineStr">
        <is>
          <t>/products/csm2b-box.png</t>
        </is>
      </c>
      <c r="H71" t="inlineStr"/>
      <c r="I71" t="inlineStr">
        <is>
          <t>DB status=下架</t>
        </is>
      </c>
    </row>
    <row r="72">
      <c r="A72" t="n">
        <v>222</v>
      </c>
      <c r="B72" t="inlineStr">
        <is>
          <t>强化包 第一弹 BOX（简中）</t>
        </is>
      </c>
      <c r="C72" t="inlineStr">
        <is>
          <t>太阳&amp;月亮 CSM1.5</t>
        </is>
      </c>
      <c r="D72" t="inlineStr">
        <is>
          <t>已备份</t>
        </is>
      </c>
      <c r="E72" t="inlineStr">
        <is>
          <t>强化包 第一弹 BOX（简中）</t>
        </is>
      </c>
      <c r="F72" t="inlineStr">
        <is>
          <t>sm15-box.png</t>
        </is>
      </c>
      <c r="G72" t="inlineStr">
        <is>
          <t>/products/sm15-box.png</t>
        </is>
      </c>
      <c r="H72" t="inlineStr"/>
      <c r="I72" t="inlineStr">
        <is>
          <t>DB status=上架</t>
        </is>
      </c>
    </row>
    <row r="73">
      <c r="A73" t="n">
        <v>225</v>
      </c>
      <c r="B73" t="inlineStr">
        <is>
          <t>补充包 横空出世 泽 BOX（简中）</t>
        </is>
      </c>
      <c r="C73" t="inlineStr">
        <is>
          <t>太阳&amp;月亮 CSM1c</t>
        </is>
      </c>
      <c r="D73" t="inlineStr">
        <is>
          <t>已备份</t>
        </is>
      </c>
      <c r="E73" t="inlineStr">
        <is>
          <t>补充包 横空出世 泽 BOX（简中）</t>
        </is>
      </c>
      <c r="F73" t="inlineStr">
        <is>
          <t>csm1c-slim.png</t>
        </is>
      </c>
      <c r="G73" t="inlineStr">
        <is>
          <t>/products/csm1c-slim.png</t>
        </is>
      </c>
      <c r="H73" t="inlineStr"/>
      <c r="I73" t="inlineStr">
        <is>
          <t>DB status=下架</t>
        </is>
      </c>
    </row>
    <row r="74">
      <c r="A74" t="n">
        <v>228</v>
      </c>
      <c r="B74" t="inlineStr">
        <is>
          <t>补充包 横空出世 苍 BOX（简中）</t>
        </is>
      </c>
      <c r="C74" t="inlineStr">
        <is>
          <t>太阳&amp;月亮 CSM1b</t>
        </is>
      </c>
      <c r="D74" t="inlineStr">
        <is>
          <t>已备份</t>
        </is>
      </c>
      <c r="E74" t="inlineStr">
        <is>
          <t>补充包 横空出世 苍 BOX（简中）</t>
        </is>
      </c>
      <c r="F74" t="inlineStr">
        <is>
          <t>csm1b-slim.png</t>
        </is>
      </c>
      <c r="G74" t="inlineStr">
        <is>
          <t>/products/csm1b-slim.png</t>
        </is>
      </c>
      <c r="H74" t="inlineStr"/>
      <c r="I74" t="inlineStr">
        <is>
          <t>DB status=下架</t>
        </is>
      </c>
    </row>
    <row r="75">
      <c r="A75" t="n">
        <v>231</v>
      </c>
      <c r="B75" t="inlineStr">
        <is>
          <t>补充包 横空出世 赫 BOX（简中）</t>
        </is>
      </c>
      <c r="C75" t="inlineStr">
        <is>
          <t>太阳&amp;月亮 CSM1a</t>
        </is>
      </c>
      <c r="D75" t="inlineStr">
        <is>
          <t>已备份</t>
        </is>
      </c>
      <c r="E75" t="inlineStr">
        <is>
          <t>补充包 横空出世 赫 BOX（简中）</t>
        </is>
      </c>
      <c r="F75" t="inlineStr">
        <is>
          <t>csm1a-slim.png</t>
        </is>
      </c>
      <c r="G75" t="inlineStr">
        <is>
          <t>/products/csm1a-slim.png</t>
        </is>
      </c>
      <c r="H75" t="inlineStr"/>
      <c r="I75" t="inlineStr">
        <is>
          <t>DB status=下架</t>
        </is>
      </c>
    </row>
    <row r="76">
      <c r="A76" t="n">
        <v>238</v>
      </c>
      <c r="B76" t="inlineStr">
        <is>
          <t>收集啦151 旅 瘦盒 BOX（简中）</t>
        </is>
      </c>
      <c r="C76" t="inlineStr">
        <is>
          <t>收集啦151 旅</t>
        </is>
      </c>
      <c r="D76" t="inlineStr">
        <is>
          <t>已备份</t>
        </is>
      </c>
      <c r="E76" t="inlineStr">
        <is>
          <t>收集啦151 旅 瘦盒 BOX（简中）</t>
        </is>
      </c>
      <c r="F76" t="inlineStr">
        <is>
          <t>151c-lv-slim.png</t>
        </is>
      </c>
      <c r="G76" t="inlineStr">
        <is>
          <t>/products/151c-lv-slim.png</t>
        </is>
      </c>
      <c r="H76" t="inlineStr"/>
      <c r="I76" t="inlineStr">
        <is>
          <t>DB status=下架</t>
        </is>
      </c>
    </row>
    <row r="77">
      <c r="A77" t="n">
        <v>241</v>
      </c>
      <c r="B77" t="inlineStr">
        <is>
          <t>收集啦151 旅 肥盒 BOX（简中）</t>
        </is>
      </c>
      <c r="C77" t="inlineStr">
        <is>
          <t>收集啦151 旅</t>
        </is>
      </c>
      <c r="D77" t="inlineStr">
        <is>
          <t>已备份</t>
        </is>
      </c>
      <c r="E77" t="inlineStr">
        <is>
          <t>收集啦151 旅 肥盒 BOX（简中）</t>
        </is>
      </c>
      <c r="F77" t="inlineStr">
        <is>
          <t>151c-lv-fat.png</t>
        </is>
      </c>
      <c r="G77" t="inlineStr">
        <is>
          <t>/products/151c-lv-fat.png</t>
        </is>
      </c>
      <c r="H77" t="inlineStr"/>
      <c r="I77" t="inlineStr">
        <is>
          <t>DB status=上架</t>
        </is>
      </c>
    </row>
    <row r="78">
      <c r="A78" t="n">
        <v>245</v>
      </c>
      <c r="B78" t="inlineStr">
        <is>
          <t>收集啦151 望 瘦盒 BOX（简中）</t>
        </is>
      </c>
      <c r="C78" t="inlineStr">
        <is>
          <t>收集啦151 望</t>
        </is>
      </c>
      <c r="D78" t="inlineStr">
        <is>
          <t>已备份</t>
        </is>
      </c>
      <c r="E78" t="inlineStr">
        <is>
          <t>收集啦151 望 瘦盒 BOX（简中）</t>
        </is>
      </c>
      <c r="F78" t="inlineStr">
        <is>
          <t>151c-wang-slim.png</t>
        </is>
      </c>
      <c r="G78" t="inlineStr">
        <is>
          <t>/products/151c-wang-slim.png</t>
        </is>
      </c>
      <c r="H78" t="inlineStr"/>
      <c r="I78" t="inlineStr">
        <is>
          <t>DB status=下架</t>
        </is>
      </c>
    </row>
    <row r="79">
      <c r="A79" t="n">
        <v>248</v>
      </c>
      <c r="B79" t="inlineStr">
        <is>
          <t>收集啦151 望 肥盒 BOX（简中）</t>
        </is>
      </c>
      <c r="C79" t="inlineStr">
        <is>
          <t>收集啦151 望</t>
        </is>
      </c>
      <c r="D79" t="inlineStr">
        <is>
          <t>已备份</t>
        </is>
      </c>
      <c r="E79" t="inlineStr">
        <is>
          <t>收集啦151 望 肥盒 BOX（简中）</t>
        </is>
      </c>
      <c r="F79" t="inlineStr">
        <is>
          <t>151c-wang-fat.png</t>
        </is>
      </c>
      <c r="G79" t="inlineStr">
        <is>
          <t>/products/151c-wang-fat.png</t>
        </is>
      </c>
      <c r="H79" t="inlineStr"/>
      <c r="I79" t="inlineStr">
        <is>
          <t>DB status=上架</t>
        </is>
      </c>
    </row>
    <row r="80">
      <c r="A80" t="n">
        <v>252</v>
      </c>
      <c r="B80" t="inlineStr">
        <is>
          <t>收集啦151 惊 瘦盒 BOX（简中）</t>
        </is>
      </c>
      <c r="C80" t="inlineStr">
        <is>
          <t>收集啦151 惊</t>
        </is>
      </c>
      <c r="D80" t="inlineStr">
        <is>
          <t>已备份</t>
        </is>
      </c>
      <c r="E80" t="inlineStr">
        <is>
          <t>收集啦151 惊 瘦盒 BOX（简中）</t>
        </is>
      </c>
      <c r="F80" t="inlineStr">
        <is>
          <t>151c-jing-slim.png</t>
        </is>
      </c>
      <c r="G80" t="inlineStr">
        <is>
          <t>/products/151c-jing-slim.png</t>
        </is>
      </c>
      <c r="H80" t="inlineStr"/>
      <c r="I80" t="inlineStr">
        <is>
          <t>DB status=下架</t>
        </is>
      </c>
    </row>
    <row r="81">
      <c r="A81" t="n">
        <v>255</v>
      </c>
      <c r="B81" t="inlineStr">
        <is>
          <t>收集啦151 惊 肥盒 BOX（简中）</t>
        </is>
      </c>
      <c r="C81" t="inlineStr">
        <is>
          <t>收集啦151 惊</t>
        </is>
      </c>
      <c r="D81" t="inlineStr">
        <is>
          <t>已备份</t>
        </is>
      </c>
      <c r="E81" t="inlineStr">
        <is>
          <t>收集啦151 惊 肥盒 BOX（简中）</t>
        </is>
      </c>
      <c r="F81" t="inlineStr">
        <is>
          <t>151c-jing-fat.png</t>
        </is>
      </c>
      <c r="G81" t="inlineStr">
        <is>
          <t>/products/151c-jing-fat.png</t>
        </is>
      </c>
      <c r="H81" t="inlineStr"/>
      <c r="I81" t="inlineStr">
        <is>
          <t>DB status=上架</t>
        </is>
      </c>
    </row>
    <row r="82">
      <c r="A82" t="n">
        <v>259</v>
      </c>
      <c r="B82" t="inlineStr">
        <is>
          <t>收集啦151 聚 瘦盒 BOX（简中）</t>
        </is>
      </c>
      <c r="C82" t="inlineStr">
        <is>
          <t>收集啦151 聚</t>
        </is>
      </c>
      <c r="D82" t="inlineStr">
        <is>
          <t>已备份</t>
        </is>
      </c>
      <c r="E82" t="inlineStr">
        <is>
          <t>收集啦151 聚 瘦盒 BOX（简中）</t>
        </is>
      </c>
      <c r="F82" t="inlineStr">
        <is>
          <t>151c-ju-slim.png</t>
        </is>
      </c>
      <c r="G82" t="inlineStr">
        <is>
          <t>/products/151c-ju-slim.png</t>
        </is>
      </c>
      <c r="H82" t="inlineStr"/>
      <c r="I82" t="inlineStr">
        <is>
          <t>DB status=下架</t>
        </is>
      </c>
    </row>
    <row r="83">
      <c r="A83" t="n">
        <v>262</v>
      </c>
      <c r="B83" t="inlineStr">
        <is>
          <t>收集啦151 聚 肥盒 BOX（简中）</t>
        </is>
      </c>
      <c r="C83" t="inlineStr">
        <is>
          <t>收集啦151 聚</t>
        </is>
      </c>
      <c r="D83" t="inlineStr">
        <is>
          <t>已备份</t>
        </is>
      </c>
      <c r="E83" t="inlineStr">
        <is>
          <t>收集啦151 聚 肥盒 BOX（简中）</t>
        </is>
      </c>
      <c r="F83" t="inlineStr">
        <is>
          <t>151c-ju-fat.png</t>
        </is>
      </c>
      <c r="G83" t="inlineStr">
        <is>
          <t>/products/151c-ju-fat.png</t>
        </is>
      </c>
      <c r="H83" t="inlineStr"/>
      <c r="I83" t="inlineStr">
        <is>
          <t>DB status=上架</t>
        </is>
      </c>
    </row>
    <row r="84">
      <c r="A84" t="n">
        <v>266</v>
      </c>
      <c r="B84" t="inlineStr">
        <is>
          <t>151 收藏家套装（简中）</t>
        </is>
      </c>
      <c r="C84" t="inlineStr">
        <is>
          <t>151</t>
        </is>
      </c>
      <c r="D84" t="inlineStr">
        <is>
          <t>已备份</t>
        </is>
      </c>
      <c r="E84" t="inlineStr">
        <is>
          <t>151 收藏家套装（简中）</t>
        </is>
      </c>
      <c r="F84" t="inlineStr">
        <is>
          <t>151-box.png</t>
        </is>
      </c>
      <c r="G84" t="inlineStr">
        <is>
          <t>/products/151-box.png</t>
        </is>
      </c>
      <c r="H84" t="inlineStr"/>
      <c r="I84" t="inlineStr">
        <is>
          <t>DB status=上架</t>
        </is>
      </c>
    </row>
    <row r="85">
      <c r="A85" t="n">
        <v>267</v>
      </c>
      <c r="B85" t="inlineStr">
        <is>
          <t>收集啦151硬币套装 旅（简中）</t>
        </is>
      </c>
      <c r="C85" t="inlineStr">
        <is>
          <t>收集啦151 旅</t>
        </is>
      </c>
      <c r="D85" t="inlineStr">
        <is>
          <t>已备份</t>
        </is>
      </c>
      <c r="E85" t="inlineStr">
        <is>
          <t>收集啦151硬币套装 旅（简中）</t>
        </is>
      </c>
      <c r="F85" t="inlineStr">
        <is>
          <t>151c-lv-slim.png</t>
        </is>
      </c>
      <c r="G85" t="inlineStr">
        <is>
          <t>/products/151c-lv-slim.png</t>
        </is>
      </c>
      <c r="H85" t="inlineStr"/>
      <c r="I85" t="inlineStr">
        <is>
          <t>DB status=上架</t>
        </is>
      </c>
    </row>
    <row r="86">
      <c r="A86" t="n">
        <v>268</v>
      </c>
      <c r="B86" t="inlineStr">
        <is>
          <t>收集啦151硬币套装ex 旅（简中）</t>
        </is>
      </c>
      <c r="C86" t="inlineStr">
        <is>
          <t>收集啦151 旅</t>
        </is>
      </c>
      <c r="D86" t="inlineStr">
        <is>
          <t>已备份</t>
        </is>
      </c>
      <c r="E86" t="inlineStr">
        <is>
          <t>收集啦151硬币套装ex 旅（简中）</t>
        </is>
      </c>
      <c r="F86" t="inlineStr">
        <is>
          <t>151c-lv-slim.png</t>
        </is>
      </c>
      <c r="G86" t="inlineStr">
        <is>
          <t>/products/151c-lv-slim.png</t>
        </is>
      </c>
      <c r="H86" t="inlineStr"/>
      <c r="I86" t="inlineStr">
        <is>
          <t>DB status=上架</t>
        </is>
      </c>
    </row>
    <row r="87">
      <c r="A87" t="n">
        <v>269</v>
      </c>
      <c r="B87" t="inlineStr">
        <is>
          <t>收集啦151硬币套装 望（简中）</t>
        </is>
      </c>
      <c r="C87" t="inlineStr">
        <is>
          <t>收集啦151 望</t>
        </is>
      </c>
      <c r="D87" t="inlineStr">
        <is>
          <t>已备份</t>
        </is>
      </c>
      <c r="E87" t="inlineStr">
        <is>
          <t>收集啦151硬币套装 望（简中）</t>
        </is>
      </c>
      <c r="F87" t="inlineStr">
        <is>
          <t>151c-wang-slim.png</t>
        </is>
      </c>
      <c r="G87" t="inlineStr">
        <is>
          <t>/products/151c-wang-slim.png</t>
        </is>
      </c>
      <c r="H87" t="inlineStr"/>
      <c r="I87" t="inlineStr">
        <is>
          <t>DB status=上架</t>
        </is>
      </c>
    </row>
    <row r="88">
      <c r="A88" t="n">
        <v>270</v>
      </c>
      <c r="B88" t="inlineStr">
        <is>
          <t>收集啦151硬币套装ex 望（简中）</t>
        </is>
      </c>
      <c r="C88" t="inlineStr">
        <is>
          <t>收集啦151 望</t>
        </is>
      </c>
      <c r="D88" t="inlineStr">
        <is>
          <t>已备份</t>
        </is>
      </c>
      <c r="E88" t="inlineStr">
        <is>
          <t>收集啦151硬币套装ex 望（简中）</t>
        </is>
      </c>
      <c r="F88" t="inlineStr">
        <is>
          <t>151c-wang-slim.png</t>
        </is>
      </c>
      <c r="G88" t="inlineStr">
        <is>
          <t>/products/151c-wang-slim.png</t>
        </is>
      </c>
      <c r="H88" t="inlineStr"/>
      <c r="I88" t="inlineStr">
        <is>
          <t>DB status=上架</t>
        </is>
      </c>
    </row>
    <row r="89">
      <c r="A89" t="n">
        <v>271</v>
      </c>
      <c r="B89" t="inlineStr">
        <is>
          <t>收集啦151硬币套装 惊（简中）</t>
        </is>
      </c>
      <c r="C89" t="inlineStr">
        <is>
          <t>收集啦151 惊</t>
        </is>
      </c>
      <c r="D89" t="inlineStr">
        <is>
          <t>已备份</t>
        </is>
      </c>
      <c r="E89" t="inlineStr">
        <is>
          <t>收集啦151硬币套装 惊（简中）</t>
        </is>
      </c>
      <c r="F89" t="inlineStr">
        <is>
          <t>151c-jing-slim.png</t>
        </is>
      </c>
      <c r="G89" t="inlineStr">
        <is>
          <t>/products/151c-jing-slim.png</t>
        </is>
      </c>
      <c r="H89" t="inlineStr"/>
      <c r="I89" t="inlineStr">
        <is>
          <t>DB status=上架</t>
        </is>
      </c>
    </row>
    <row r="90">
      <c r="A90" t="n">
        <v>272</v>
      </c>
      <c r="B90" t="inlineStr">
        <is>
          <t>收集啦151硬币套装ex 惊（简中）</t>
        </is>
      </c>
      <c r="C90" t="inlineStr">
        <is>
          <t>收集啦151 惊</t>
        </is>
      </c>
      <c r="D90" t="inlineStr">
        <is>
          <t>已备份</t>
        </is>
      </c>
      <c r="E90" t="inlineStr">
        <is>
          <t>收集啦151硬币套装ex 惊（简中）</t>
        </is>
      </c>
      <c r="F90" t="inlineStr">
        <is>
          <t>151c-jing-slim.png</t>
        </is>
      </c>
      <c r="G90" t="inlineStr">
        <is>
          <t>/products/151c-jing-slim.png</t>
        </is>
      </c>
      <c r="H90" t="inlineStr"/>
      <c r="I90" t="inlineStr">
        <is>
          <t>DB status=上架</t>
        </is>
      </c>
    </row>
    <row r="91">
      <c r="A91" t="n">
        <v>273</v>
      </c>
      <c r="B91" t="inlineStr">
        <is>
          <t>收集啦151硬币套装 聚（简中）</t>
        </is>
      </c>
      <c r="C91" t="inlineStr">
        <is>
          <t>收集啦151 聚</t>
        </is>
      </c>
      <c r="D91" t="inlineStr">
        <is>
          <t>已备份</t>
        </is>
      </c>
      <c r="E91" t="inlineStr">
        <is>
          <t>收集啦151硬币套装 聚（简中）</t>
        </is>
      </c>
      <c r="F91" t="inlineStr">
        <is>
          <t>151c-ju-slim.png</t>
        </is>
      </c>
      <c r="G91" t="inlineStr">
        <is>
          <t>/products/151c-ju-slim.png</t>
        </is>
      </c>
      <c r="H91" t="inlineStr"/>
      <c r="I91" t="inlineStr">
        <is>
          <t>DB status=上架</t>
        </is>
      </c>
    </row>
    <row r="92">
      <c r="A92" t="n">
        <v>274</v>
      </c>
      <c r="B92" t="inlineStr">
        <is>
          <t>收集啦151硬币套装ex 聚（简中）</t>
        </is>
      </c>
      <c r="C92" t="inlineStr">
        <is>
          <t>收集啦151 聚</t>
        </is>
      </c>
      <c r="D92" t="inlineStr">
        <is>
          <t>已备份</t>
        </is>
      </c>
      <c r="E92" t="inlineStr">
        <is>
          <t>收集啦151硬币套装ex 聚（简中）</t>
        </is>
      </c>
      <c r="F92" t="inlineStr">
        <is>
          <t>151c-ju-slim.png</t>
        </is>
      </c>
      <c r="G92" t="inlineStr">
        <is>
          <t>/products/151c-ju-slim.png</t>
        </is>
      </c>
      <c r="H92" t="inlineStr"/>
      <c r="I92" t="inlineStr">
        <is>
          <t>DB status=上架</t>
        </is>
      </c>
    </row>
    <row r="93">
      <c r="A93" t="n">
        <v>275</v>
      </c>
      <c r="B93" t="inlineStr">
        <is>
          <t>收集啦151 最初的伙伴展示套装（简中）</t>
        </is>
      </c>
      <c r="C93" t="inlineStr">
        <is>
          <t>151</t>
        </is>
      </c>
      <c r="D93" t="inlineStr">
        <is>
          <t>已备份</t>
        </is>
      </c>
      <c r="E93" t="inlineStr">
        <is>
          <t>收集啦151 最初的伙伴展示套装（简中）</t>
        </is>
      </c>
      <c r="F93" t="inlineStr">
        <is>
          <t>151-box.png</t>
        </is>
      </c>
      <c r="G93" t="inlineStr">
        <is>
          <t>/products/151-box.png</t>
        </is>
      </c>
      <c r="H93" t="inlineStr"/>
      <c r="I93" t="inlineStr">
        <is>
          <t>DB status=上架</t>
        </is>
      </c>
    </row>
    <row r="94">
      <c r="A94" t="n">
        <v>276</v>
      </c>
      <c r="B94" t="inlineStr">
        <is>
          <t>收集啦151 硬币收藏艺术展示框 黑色款（简中）</t>
        </is>
      </c>
      <c r="C94" t="inlineStr">
        <is>
          <t>151</t>
        </is>
      </c>
      <c r="D94" t="inlineStr">
        <is>
          <t>已备份</t>
        </is>
      </c>
      <c r="E94" t="inlineStr">
        <is>
          <t>收集啦151 硬币收藏艺术展示框 黑色款（简中）</t>
        </is>
      </c>
      <c r="F94" t="inlineStr">
        <is>
          <t>151-box.png</t>
        </is>
      </c>
      <c r="G94" t="inlineStr">
        <is>
          <t>/products/151-box.png</t>
        </is>
      </c>
      <c r="H94" t="inlineStr"/>
      <c r="I94" t="inlineStr">
        <is>
          <t>DB status=上架</t>
        </is>
      </c>
    </row>
    <row r="95">
      <c r="A95" t="n">
        <v>277</v>
      </c>
      <c r="B95" t="inlineStr">
        <is>
          <t>收集啦151 硬币收藏艺术展示框 白色款（简中）</t>
        </is>
      </c>
      <c r="C95" t="inlineStr">
        <is>
          <t>151</t>
        </is>
      </c>
      <c r="D95" t="inlineStr">
        <is>
          <t>已备份</t>
        </is>
      </c>
      <c r="E95" t="inlineStr">
        <is>
          <t>收集啦151 硬币收藏艺术展示框 白色款（简中）</t>
        </is>
      </c>
      <c r="F95" t="inlineStr">
        <is>
          <t>151-box.png</t>
        </is>
      </c>
      <c r="G95" t="inlineStr">
        <is>
          <t>/products/151-box.png</t>
        </is>
      </c>
      <c r="H95" t="inlineStr"/>
      <c r="I95" t="inlineStr">
        <is>
          <t>DB status=上架</t>
        </is>
      </c>
    </row>
    <row r="96">
      <c r="A96" t="n">
        <v>279</v>
      </c>
      <c r="B96" t="inlineStr">
        <is>
          <t>30周年庆典 幻彩未来纪念礼盒（简中）</t>
        </is>
      </c>
      <c r="C96" t="inlineStr">
        <is>
          <t>30周年庆典</t>
        </is>
      </c>
      <c r="D96" t="inlineStr">
        <is>
          <t>已备份</t>
        </is>
      </c>
      <c r="E96" t="inlineStr">
        <is>
          <t>30周年庆典 幻彩未来纪念礼盒（简中）</t>
        </is>
      </c>
      <c r="F96" t="inlineStr">
        <is>
          <t>30th-deluxe-box.png</t>
        </is>
      </c>
      <c r="G96" t="inlineStr">
        <is>
          <t>/products/30th-deluxe-box.png</t>
        </is>
      </c>
      <c r="H96" t="inlineStr"/>
      <c r="I96" t="inlineStr">
        <is>
          <t>DB status=上架</t>
        </is>
      </c>
    </row>
    <row r="97">
      <c r="A97" t="n">
        <v>280</v>
      </c>
      <c r="B97" t="inlineStr">
        <is>
          <t>30周年庆典 最初的伙伴闪卡套装 Vol.1（简中）</t>
        </is>
      </c>
      <c r="C97" t="inlineStr">
        <is>
          <t>30周年庆典</t>
        </is>
      </c>
      <c r="D97" t="inlineStr">
        <is>
          <t>已备份</t>
        </is>
      </c>
      <c r="E97" t="inlineStr">
        <is>
          <t>30周年庆典 最初的伙伴闪卡套装 Vol.1（简中）</t>
        </is>
      </c>
      <c r="F97" t="inlineStr">
        <is>
          <t>30th-vol1.png</t>
        </is>
      </c>
      <c r="G97" t="inlineStr">
        <is>
          <t>/products/30th-vol1.png</t>
        </is>
      </c>
      <c r="H97" t="inlineStr"/>
      <c r="I97" t="inlineStr">
        <is>
          <t>DB status=上架</t>
        </is>
      </c>
    </row>
    <row r="98">
      <c r="A98" t="n">
        <v>281</v>
      </c>
      <c r="B98" t="inlineStr">
        <is>
          <t>30周年庆典 最初的伙伴闪卡套装 Vol.2（简中）</t>
        </is>
      </c>
      <c r="C98" t="inlineStr">
        <is>
          <t>30周年庆典</t>
        </is>
      </c>
      <c r="D98" t="inlineStr">
        <is>
          <t>已备份</t>
        </is>
      </c>
      <c r="E98" t="inlineStr">
        <is>
          <t>30周年庆典 最初的伙伴闪卡套装 Vol.2（简中）</t>
        </is>
      </c>
      <c r="F98" t="inlineStr">
        <is>
          <t>30th-vol2.png</t>
        </is>
      </c>
      <c r="G98" t="inlineStr">
        <is>
          <t>/products/30th-vol2.png</t>
        </is>
      </c>
      <c r="H98" t="inlineStr"/>
      <c r="I98" t="inlineStr">
        <is>
          <t>DB status=上架</t>
        </is>
      </c>
    </row>
    <row r="99">
      <c r="A99" t="n">
        <v>282</v>
      </c>
      <c r="B99" t="inlineStr">
        <is>
          <t>30周年庆典 最初的伙伴闪卡套装 Vol.3（简中）</t>
        </is>
      </c>
      <c r="C99" t="inlineStr">
        <is>
          <t>30周年庆典</t>
        </is>
      </c>
      <c r="D99" t="inlineStr">
        <is>
          <t>已备份</t>
        </is>
      </c>
      <c r="E99" t="inlineStr">
        <is>
          <t>30周年庆典 最初的伙伴闪卡套装 Vol.3（简中）</t>
        </is>
      </c>
      <c r="F99" t="inlineStr">
        <is>
          <t>30th-vol2.png</t>
        </is>
      </c>
      <c r="G99" t="inlineStr">
        <is>
          <t>/products/30th-vol2.png</t>
        </is>
      </c>
      <c r="H99" t="inlineStr"/>
      <c r="I99" t="inlineStr">
        <is>
          <t>DB status=上架</t>
        </is>
      </c>
    </row>
    <row r="100">
      <c r="A100" t="n">
        <v>283</v>
      </c>
      <c r="B100" t="inlineStr">
        <is>
          <t>补充包 30周年庆典 补充包 BOX（简中）</t>
        </is>
      </c>
      <c r="C100" t="inlineStr">
        <is>
          <t>30周年庆典</t>
        </is>
      </c>
      <c r="D100" t="inlineStr">
        <is>
          <t>已备份</t>
        </is>
      </c>
      <c r="E100" t="inlineStr">
        <is>
          <t>补充包 30周年庆典 补充包 BOX（简中）</t>
        </is>
      </c>
      <c r="F100" t="inlineStr">
        <is>
          <t>30th-booster-box.png</t>
        </is>
      </c>
      <c r="G100" t="inlineStr">
        <is>
          <t>/products/30th-booster-box.png</t>
        </is>
      </c>
      <c r="H100" t="inlineStr"/>
      <c r="I100" t="inlineStr">
        <is>
          <t>DB status=下架</t>
        </is>
      </c>
    </row>
    <row r="101">
      <c r="A101" t="n">
        <v>287</v>
      </c>
      <c r="B101" t="inlineStr">
        <is>
          <t>游历对战周边礼盒（简中）</t>
        </is>
      </c>
      <c r="C101" t="inlineStr">
        <is>
          <t>游历系列</t>
        </is>
      </c>
      <c r="D101" t="inlineStr">
        <is>
          <t>已备份</t>
        </is>
      </c>
      <c r="E101" t="inlineStr">
        <is>
          <t>游历对战周边礼盒（简中）</t>
        </is>
      </c>
      <c r="F101" t="inlineStr">
        <is>
          <t>ylsc-battle-box.png</t>
        </is>
      </c>
      <c r="G101" t="inlineStr">
        <is>
          <t>/products/ylsc-battle-box.png</t>
        </is>
      </c>
      <c r="H101" t="inlineStr"/>
      <c r="I101" t="inlineStr">
        <is>
          <t>DB status=上架</t>
        </is>
      </c>
    </row>
    <row r="102">
      <c r="A102" t="n">
        <v>288</v>
      </c>
      <c r="B102" t="inlineStr">
        <is>
          <t>游历收藏周边礼盒（简中）</t>
        </is>
      </c>
      <c r="C102" t="inlineStr">
        <is>
          <t>游历系列</t>
        </is>
      </c>
      <c r="D102" t="inlineStr">
        <is>
          <t>已备份</t>
        </is>
      </c>
      <c r="E102" t="inlineStr">
        <is>
          <t>游历收藏周边礼盒（简中）</t>
        </is>
      </c>
      <c r="F102" t="inlineStr">
        <is>
          <t>ylsc-collect-box.png</t>
        </is>
      </c>
      <c r="G102" t="inlineStr">
        <is>
          <t>/products/ylsc-collect-box.png</t>
        </is>
      </c>
      <c r="H102" t="inlineStr"/>
      <c r="I102" t="inlineStr">
        <is>
          <t>DB status=上架</t>
        </is>
      </c>
    </row>
    <row r="103">
      <c r="A103" t="n">
        <v>290</v>
      </c>
      <c r="B103" t="inlineStr">
        <is>
          <t>2026 春节礼盒（简中）</t>
        </is>
      </c>
      <c r="C103" t="inlineStr">
        <is>
          <t>节日礼盒</t>
        </is>
      </c>
      <c r="D103" t="inlineStr">
        <is>
          <t>已备份</t>
        </is>
      </c>
      <c r="E103" t="inlineStr">
        <is>
          <t>2026 春节礼盒（简中）</t>
        </is>
      </c>
      <c r="F103" t="inlineStr">
        <is>
          <t>chunjie2026-box.png</t>
        </is>
      </c>
      <c r="G103" t="inlineStr">
        <is>
          <t>/products/chunjie2026-box.png</t>
        </is>
      </c>
      <c r="H103" t="inlineStr"/>
      <c r="I103" t="inlineStr">
        <is>
          <t>DB status=上架</t>
        </is>
      </c>
    </row>
    <row r="104">
      <c r="A104" t="n">
        <v>291</v>
      </c>
      <c r="B104" t="inlineStr">
        <is>
          <t>2026 端午节礼盒（简中）</t>
        </is>
      </c>
      <c r="C104" t="inlineStr">
        <is>
          <t>节日礼盒</t>
        </is>
      </c>
      <c r="D104" t="inlineStr">
        <is>
          <t>已备份</t>
        </is>
      </c>
      <c r="E104" t="inlineStr">
        <is>
          <t>2026 端午节礼盒（简中）</t>
        </is>
      </c>
      <c r="F104" t="inlineStr">
        <is>
          <t>duanwu2026-box.png</t>
        </is>
      </c>
      <c r="G104" t="inlineStr">
        <is>
          <t>/products/duanwu2026-box.png</t>
        </is>
      </c>
      <c r="H104" t="inlineStr"/>
      <c r="I104" t="inlineStr">
        <is>
          <t>DB status=上架</t>
        </is>
      </c>
    </row>
    <row r="105">
      <c r="A105" t="n">
        <v>6</v>
      </c>
      <c r="B105" t="inlineStr">
        <is>
          <t>OPC-16 决战之时 原盒（简中）</t>
        </is>
      </c>
      <c r="C105" t="inlineStr">
        <is>
          <t>OPC-16 决战之时</t>
        </is>
      </c>
      <c r="D105" t="inlineStr">
        <is>
          <t>已备份</t>
        </is>
      </c>
      <c r="E105" t="inlineStr">
        <is>
          <t>OPC-16 决战之时 原盒（简中）</t>
        </is>
      </c>
      <c r="F105" t="inlineStr">
        <is>
          <t>opc-16-pack.png</t>
        </is>
      </c>
      <c r="G105" t="inlineStr">
        <is>
          <t>/products/onepiece-official/opc-16-pack.png</t>
        </is>
      </c>
      <c r="H105" t="inlineStr"/>
      <c r="I105" t="inlineStr">
        <is>
          <t>DB status=上架</t>
        </is>
      </c>
    </row>
    <row r="106">
      <c r="A106" t="n">
        <v>7</v>
      </c>
      <c r="B106" t="inlineStr">
        <is>
          <t>OPC-16 决战之时 散包（简中）</t>
        </is>
      </c>
      <c r="C106" t="inlineStr">
        <is>
          <t>OPC-16 决战之时</t>
        </is>
      </c>
      <c r="D106" t="inlineStr">
        <is>
          <t>已备份</t>
        </is>
      </c>
      <c r="E106" t="inlineStr">
        <is>
          <t>OPC-16 决战之时 散包（简中）</t>
        </is>
      </c>
      <c r="F106" t="inlineStr">
        <is>
          <t>opc-16-pack.png</t>
        </is>
      </c>
      <c r="G106" t="inlineStr">
        <is>
          <t>/products/onepiece-official/opc-16-pack.png</t>
        </is>
      </c>
      <c r="H106" t="inlineStr"/>
      <c r="I106" t="inlineStr">
        <is>
          <t>DB status=上架</t>
        </is>
      </c>
    </row>
    <row r="107">
      <c r="A107" t="n">
        <v>8</v>
      </c>
      <c r="B107" t="inlineStr">
        <is>
          <t>OPC-16 决战之时 原箱（简中）</t>
        </is>
      </c>
      <c r="C107" t="inlineStr">
        <is>
          <t>OPC-16 决战之时</t>
        </is>
      </c>
      <c r="D107" t="inlineStr">
        <is>
          <t>已备份</t>
        </is>
      </c>
      <c r="E107" t="inlineStr">
        <is>
          <t>OPC-16 决战之时 原箱（简中）</t>
        </is>
      </c>
      <c r="F107" t="inlineStr">
        <is>
          <t>opc-16-pack.png</t>
        </is>
      </c>
      <c r="G107" t="inlineStr">
        <is>
          <t>/products/onepiece-official/opc-16-pack.png</t>
        </is>
      </c>
      <c r="H107" t="inlineStr"/>
      <c r="I107" t="inlineStr">
        <is>
          <t>DB status=上架</t>
        </is>
      </c>
    </row>
    <row r="108">
      <c r="A108" t="n">
        <v>9</v>
      </c>
      <c r="B108" t="inlineStr">
        <is>
          <t>OPC-15 神之岛的冒险 原盒（简中）</t>
        </is>
      </c>
      <c r="C108" t="inlineStr">
        <is>
          <t>OPC-15 神之岛的冒险</t>
        </is>
      </c>
      <c r="D108" t="inlineStr">
        <is>
          <t>已备份</t>
        </is>
      </c>
      <c r="E108" t="inlineStr">
        <is>
          <t>OPC-15 神之岛的冒险 原盒（简中）</t>
        </is>
      </c>
      <c r="F108" t="inlineStr">
        <is>
          <t>opc-15-pack.png</t>
        </is>
      </c>
      <c r="G108" t="inlineStr">
        <is>
          <t>/products/onepiece-official/opc-15-pack.png</t>
        </is>
      </c>
      <c r="H108" t="inlineStr"/>
      <c r="I108" t="inlineStr">
        <is>
          <t>DB status=上架</t>
        </is>
      </c>
    </row>
    <row r="109">
      <c r="A109" t="n">
        <v>10</v>
      </c>
      <c r="B109" t="inlineStr">
        <is>
          <t>OPC-15 神之岛的冒险 散包（简中）</t>
        </is>
      </c>
      <c r="C109" t="inlineStr">
        <is>
          <t>OPC-15 神之岛的冒险</t>
        </is>
      </c>
      <c r="D109" t="inlineStr">
        <is>
          <t>已备份</t>
        </is>
      </c>
      <c r="E109" t="inlineStr">
        <is>
          <t>OPC-15 神之岛的冒险 散包（简中）</t>
        </is>
      </c>
      <c r="F109" t="inlineStr">
        <is>
          <t>opc-15-pack.png</t>
        </is>
      </c>
      <c r="G109" t="inlineStr">
        <is>
          <t>/products/onepiece-official/opc-15-pack.png</t>
        </is>
      </c>
      <c r="H109" t="inlineStr"/>
      <c r="I109" t="inlineStr">
        <is>
          <t>DB status=上架</t>
        </is>
      </c>
    </row>
    <row r="110">
      <c r="A110" t="n">
        <v>11</v>
      </c>
      <c r="B110" t="inlineStr">
        <is>
          <t>OPC-15 神之岛的冒险 原箱（简中）</t>
        </is>
      </c>
      <c r="C110" t="inlineStr">
        <is>
          <t>OPC-15 神之岛的冒险</t>
        </is>
      </c>
      <c r="D110" t="inlineStr">
        <is>
          <t>已备份</t>
        </is>
      </c>
      <c r="E110" t="inlineStr">
        <is>
          <t>OPC-15 神之岛的冒险 原箱（简中）</t>
        </is>
      </c>
      <c r="F110" t="inlineStr">
        <is>
          <t>opc-15-pack.png</t>
        </is>
      </c>
      <c r="G110" t="inlineStr">
        <is>
          <t>/products/onepiece-official/opc-15-pack.png</t>
        </is>
      </c>
      <c r="H110" t="inlineStr"/>
      <c r="I110" t="inlineStr">
        <is>
          <t>DB status=上架</t>
        </is>
      </c>
    </row>
    <row r="111">
      <c r="A111" t="n">
        <v>12</v>
      </c>
      <c r="B111" t="inlineStr">
        <is>
          <t>OPC-14 苍海七杰 原盒（简中）</t>
        </is>
      </c>
      <c r="C111" t="inlineStr">
        <is>
          <t>OPC-14 苍海七杰</t>
        </is>
      </c>
      <c r="D111" t="inlineStr">
        <is>
          <t>已备份</t>
        </is>
      </c>
      <c r="E111" t="inlineStr">
        <is>
          <t>OPC-14 苍海七杰 原盒（简中）</t>
        </is>
      </c>
      <c r="F111" t="inlineStr">
        <is>
          <t>opc-14-pack.png</t>
        </is>
      </c>
      <c r="G111" t="inlineStr">
        <is>
          <t>/products/onepiece-official/opc-14-pack.png</t>
        </is>
      </c>
      <c r="H111" t="inlineStr"/>
      <c r="I111" t="inlineStr">
        <is>
          <t>DB status=上架</t>
        </is>
      </c>
    </row>
    <row r="112">
      <c r="A112" t="n">
        <v>13</v>
      </c>
      <c r="B112" t="inlineStr">
        <is>
          <t>OPC-14 苍海七杰 散包（简中）</t>
        </is>
      </c>
      <c r="C112" t="inlineStr">
        <is>
          <t>OPC-14 苍海七杰</t>
        </is>
      </c>
      <c r="D112" t="inlineStr">
        <is>
          <t>已备份</t>
        </is>
      </c>
      <c r="E112" t="inlineStr">
        <is>
          <t>OPC-14 苍海七杰 散包（简中）</t>
        </is>
      </c>
      <c r="F112" t="inlineStr">
        <is>
          <t>opc-14-pack.png</t>
        </is>
      </c>
      <c r="G112" t="inlineStr">
        <is>
          <t>/products/onepiece-official/opc-14-pack.png</t>
        </is>
      </c>
      <c r="H112" t="inlineStr"/>
      <c r="I112" t="inlineStr">
        <is>
          <t>DB status=上架</t>
        </is>
      </c>
    </row>
    <row r="113">
      <c r="A113" t="n">
        <v>14</v>
      </c>
      <c r="B113" t="inlineStr">
        <is>
          <t>OPC-14 苍海七杰 原箱（简中）</t>
        </is>
      </c>
      <c r="C113" t="inlineStr">
        <is>
          <t>OPC-14 苍海七杰</t>
        </is>
      </c>
      <c r="D113" t="inlineStr">
        <is>
          <t>已备份</t>
        </is>
      </c>
      <c r="E113" t="inlineStr">
        <is>
          <t>OPC-14 苍海七杰 原箱（简中）</t>
        </is>
      </c>
      <c r="F113" t="inlineStr">
        <is>
          <t>opc-14-pack.png</t>
        </is>
      </c>
      <c r="G113" t="inlineStr">
        <is>
          <t>/products/onepiece-official/opc-14-pack.png</t>
        </is>
      </c>
      <c r="H113" t="inlineStr"/>
      <c r="I113" t="inlineStr">
        <is>
          <t>DB status=上架</t>
        </is>
      </c>
    </row>
    <row r="114">
      <c r="A114" t="n">
        <v>15</v>
      </c>
      <c r="B114" t="inlineStr">
        <is>
          <t>OPC-13 继承的意志 原盒（简中）</t>
        </is>
      </c>
      <c r="C114" t="inlineStr">
        <is>
          <t>OPC-13 继承的意志</t>
        </is>
      </c>
      <c r="D114" t="inlineStr">
        <is>
          <t>已备份</t>
        </is>
      </c>
      <c r="E114" t="inlineStr">
        <is>
          <t>OPC-13 继承的意志 原盒（简中）</t>
        </is>
      </c>
      <c r="F114" t="inlineStr">
        <is>
          <t>opc-13-pack.png</t>
        </is>
      </c>
      <c r="G114" t="inlineStr">
        <is>
          <t>/products/onepiece-official/opc-13-pack.png</t>
        </is>
      </c>
      <c r="H114" t="inlineStr"/>
      <c r="I114" t="inlineStr">
        <is>
          <t>DB status=上架</t>
        </is>
      </c>
    </row>
    <row r="115">
      <c r="A115" t="n">
        <v>16</v>
      </c>
      <c r="B115" t="inlineStr">
        <is>
          <t>OPC-13 继承的意志 散包（简中）</t>
        </is>
      </c>
      <c r="C115" t="inlineStr">
        <is>
          <t>OPC-13 继承的意志</t>
        </is>
      </c>
      <c r="D115" t="inlineStr">
        <is>
          <t>已备份</t>
        </is>
      </c>
      <c r="E115" t="inlineStr">
        <is>
          <t>OPC-13 继承的意志 散包（简中）</t>
        </is>
      </c>
      <c r="F115" t="inlineStr">
        <is>
          <t>opc-13-pack.png</t>
        </is>
      </c>
      <c r="G115" t="inlineStr">
        <is>
          <t>/products/onepiece-official/opc-13-pack.png</t>
        </is>
      </c>
      <c r="H115" t="inlineStr"/>
      <c r="I115" t="inlineStr">
        <is>
          <t>DB status=上架</t>
        </is>
      </c>
    </row>
    <row r="116">
      <c r="A116" t="n">
        <v>17</v>
      </c>
      <c r="B116" t="inlineStr">
        <is>
          <t>OPC-13 继承的意志 原箱（简中）</t>
        </is>
      </c>
      <c r="C116" t="inlineStr">
        <is>
          <t>OPC-13 继承的意志</t>
        </is>
      </c>
      <c r="D116" t="inlineStr">
        <is>
          <t>已备份</t>
        </is>
      </c>
      <c r="E116" t="inlineStr">
        <is>
          <t>OPC-13 继承的意志 原箱（简中）</t>
        </is>
      </c>
      <c r="F116" t="inlineStr">
        <is>
          <t>opc-13-pack.png</t>
        </is>
      </c>
      <c r="G116" t="inlineStr">
        <is>
          <t>/products/onepiece-official/opc-13-pack.png</t>
        </is>
      </c>
      <c r="H116" t="inlineStr"/>
      <c r="I116" t="inlineStr">
        <is>
          <t>DB status=上架</t>
        </is>
      </c>
    </row>
    <row r="117">
      <c r="A117" t="n">
        <v>18</v>
      </c>
      <c r="B117" t="inlineStr">
        <is>
          <t>OPC-12 师徒之绊 原盒（简中）</t>
        </is>
      </c>
      <c r="C117" t="inlineStr">
        <is>
          <t>OPC-12 师徒之绊</t>
        </is>
      </c>
      <c r="D117" t="inlineStr">
        <is>
          <t>已备份</t>
        </is>
      </c>
      <c r="E117" t="inlineStr">
        <is>
          <t>OPC-12 师徒之绊 原盒（简中）</t>
        </is>
      </c>
      <c r="F117" t="inlineStr">
        <is>
          <t>opc-12-pack.png</t>
        </is>
      </c>
      <c r="G117" t="inlineStr">
        <is>
          <t>/products/onepiece-official/opc-12-pack.png</t>
        </is>
      </c>
      <c r="H117" t="inlineStr"/>
      <c r="I117" t="inlineStr">
        <is>
          <t>DB status=上架</t>
        </is>
      </c>
    </row>
    <row r="118">
      <c r="A118" t="n">
        <v>19</v>
      </c>
      <c r="B118" t="inlineStr">
        <is>
          <t>OPC-12 师徒之绊 散包（简中）</t>
        </is>
      </c>
      <c r="C118" t="inlineStr">
        <is>
          <t>OPC-12 师徒之绊</t>
        </is>
      </c>
      <c r="D118" t="inlineStr">
        <is>
          <t>已备份</t>
        </is>
      </c>
      <c r="E118" t="inlineStr">
        <is>
          <t>OPC-12 师徒之绊 散包（简中）</t>
        </is>
      </c>
      <c r="F118" t="inlineStr">
        <is>
          <t>opc-12-pack.png</t>
        </is>
      </c>
      <c r="G118" t="inlineStr">
        <is>
          <t>/products/onepiece-official/opc-12-pack.png</t>
        </is>
      </c>
      <c r="H118" t="inlineStr"/>
      <c r="I118" t="inlineStr">
        <is>
          <t>DB status=上架</t>
        </is>
      </c>
    </row>
    <row r="119">
      <c r="A119" t="n">
        <v>20</v>
      </c>
      <c r="B119" t="inlineStr">
        <is>
          <t>OPC-12 师徒之绊 原箱（简中）</t>
        </is>
      </c>
      <c r="C119" t="inlineStr">
        <is>
          <t>OPC-12 师徒之绊</t>
        </is>
      </c>
      <c r="D119" t="inlineStr">
        <is>
          <t>已备份</t>
        </is>
      </c>
      <c r="E119" t="inlineStr">
        <is>
          <t>OPC-12 师徒之绊 原箱（简中）</t>
        </is>
      </c>
      <c r="F119" t="inlineStr">
        <is>
          <t>opc-12-pack.png</t>
        </is>
      </c>
      <c r="G119" t="inlineStr">
        <is>
          <t>/products/onepiece-official/opc-12-pack.png</t>
        </is>
      </c>
      <c r="H119" t="inlineStr"/>
      <c r="I119" t="inlineStr">
        <is>
          <t>DB status=上架</t>
        </is>
      </c>
    </row>
    <row r="120">
      <c r="A120" t="n">
        <v>21</v>
      </c>
      <c r="B120" t="inlineStr">
        <is>
          <t>OPC-11 神速之拳 原盒（简中）</t>
        </is>
      </c>
      <c r="C120" t="inlineStr">
        <is>
          <t>OPC-11 神速之拳</t>
        </is>
      </c>
      <c r="D120" t="inlineStr">
        <is>
          <t>已备份</t>
        </is>
      </c>
      <c r="E120" t="inlineStr">
        <is>
          <t>OPC-11 神速之拳 原盒（简中）</t>
        </is>
      </c>
      <c r="F120" t="inlineStr">
        <is>
          <t>opc-11-pack.png</t>
        </is>
      </c>
      <c r="G120" t="inlineStr">
        <is>
          <t>/products/onepiece-official/opc-11-pack.png</t>
        </is>
      </c>
      <c r="H120" t="inlineStr"/>
      <c r="I120" t="inlineStr">
        <is>
          <t>DB status=下架</t>
        </is>
      </c>
    </row>
    <row r="121">
      <c r="A121" t="n">
        <v>22</v>
      </c>
      <c r="B121" t="inlineStr">
        <is>
          <t>OPC-11 神速之拳 散包（简中）</t>
        </is>
      </c>
      <c r="C121" t="inlineStr">
        <is>
          <t>OPC-11 神速之拳</t>
        </is>
      </c>
      <c r="D121" t="inlineStr">
        <is>
          <t>已备份</t>
        </is>
      </c>
      <c r="E121" t="inlineStr">
        <is>
          <t>OPC-11 神速之拳 散包（简中）</t>
        </is>
      </c>
      <c r="F121" t="inlineStr">
        <is>
          <t>opc-11-pack.png</t>
        </is>
      </c>
      <c r="G121" t="inlineStr">
        <is>
          <t>/products/onepiece-official/opc-11-pack.png</t>
        </is>
      </c>
      <c r="H121" t="inlineStr"/>
      <c r="I121" t="inlineStr">
        <is>
          <t>DB status=下架</t>
        </is>
      </c>
    </row>
    <row r="122">
      <c r="A122" t="n">
        <v>23</v>
      </c>
      <c r="B122" t="inlineStr">
        <is>
          <t>OPC-11 神速之拳 原箱（简中）</t>
        </is>
      </c>
      <c r="C122" t="inlineStr">
        <is>
          <t>OPC-11 神速之拳</t>
        </is>
      </c>
      <c r="D122" t="inlineStr">
        <is>
          <t>已备份</t>
        </is>
      </c>
      <c r="E122" t="inlineStr">
        <is>
          <t>OPC-11 神速之拳 原箱（简中）</t>
        </is>
      </c>
      <c r="F122" t="inlineStr">
        <is>
          <t>opc-11-pack.png</t>
        </is>
      </c>
      <c r="G122" t="inlineStr">
        <is>
          <t>/products/onepiece-official/opc-11-pack.png</t>
        </is>
      </c>
      <c r="H122" t="inlineStr"/>
      <c r="I122" t="inlineStr">
        <is>
          <t>DB status=下架</t>
        </is>
      </c>
    </row>
    <row r="123">
      <c r="A123" t="n">
        <v>24</v>
      </c>
      <c r="B123" t="inlineStr">
        <is>
          <t>OPC-10 王之血脉 原盒（简中）</t>
        </is>
      </c>
      <c r="C123" t="inlineStr">
        <is>
          <t>OPC-10</t>
        </is>
      </c>
      <c r="D123" t="inlineStr">
        <is>
          <t>已备份</t>
        </is>
      </c>
      <c r="E123" t="inlineStr">
        <is>
          <t>OPC-10 王之血脉 原盒（简中）</t>
        </is>
      </c>
      <c r="F123" t="inlineStr">
        <is>
          <t>opc-10-pack.png</t>
        </is>
      </c>
      <c r="G123" t="inlineStr">
        <is>
          <t>/products/onepiece-official/opc-10-pack.png</t>
        </is>
      </c>
      <c r="H123" t="inlineStr"/>
      <c r="I123" t="inlineStr">
        <is>
          <t>DB status=上架</t>
        </is>
      </c>
    </row>
    <row r="124">
      <c r="A124" t="n">
        <v>25</v>
      </c>
      <c r="B124" t="inlineStr">
        <is>
          <t>OPC-10 王之血脉 散包（简中）</t>
        </is>
      </c>
      <c r="C124" t="inlineStr">
        <is>
          <t>OPC-10</t>
        </is>
      </c>
      <c r="D124" t="inlineStr">
        <is>
          <t>已备份</t>
        </is>
      </c>
      <c r="E124" t="inlineStr">
        <is>
          <t>OPC-10 王之血脉 散包（简中）</t>
        </is>
      </c>
      <c r="F124" t="inlineStr">
        <is>
          <t>opc-10-pack.png</t>
        </is>
      </c>
      <c r="G124" t="inlineStr">
        <is>
          <t>/products/onepiece-official/opc-10-pack.png</t>
        </is>
      </c>
      <c r="H124" t="inlineStr"/>
      <c r="I124" t="inlineStr">
        <is>
          <t>DB status=上架</t>
        </is>
      </c>
    </row>
    <row r="125">
      <c r="A125" t="n">
        <v>26</v>
      </c>
      <c r="B125" t="inlineStr">
        <is>
          <t>OPC-10 王之血脉 原箱（简中）</t>
        </is>
      </c>
      <c r="C125" t="inlineStr">
        <is>
          <t>OPC-10</t>
        </is>
      </c>
      <c r="D125" t="inlineStr">
        <is>
          <t>已备份</t>
        </is>
      </c>
      <c r="E125" t="inlineStr">
        <is>
          <t>OPC-10 王之血脉 原箱（简中）</t>
        </is>
      </c>
      <c r="F125" t="inlineStr">
        <is>
          <t>opc-10-pack.png</t>
        </is>
      </c>
      <c r="G125" t="inlineStr">
        <is>
          <t>/products/onepiece-official/opc-10-pack.png</t>
        </is>
      </c>
      <c r="H125" t="inlineStr"/>
      <c r="I125" t="inlineStr">
        <is>
          <t>DB status=上架</t>
        </is>
      </c>
    </row>
    <row r="126">
      <c r="A126" t="n">
        <v>27</v>
      </c>
      <c r="B126" t="inlineStr">
        <is>
          <t>OPC-09 新帝降临 原盒（简中）</t>
        </is>
      </c>
      <c r="C126" t="inlineStr">
        <is>
          <t>OPC-09 新帝降临</t>
        </is>
      </c>
      <c r="D126" t="inlineStr">
        <is>
          <t>已备份</t>
        </is>
      </c>
      <c r="E126" t="inlineStr">
        <is>
          <t>OPC-09 新帝降临 原盒（简中）</t>
        </is>
      </c>
      <c r="F126" t="inlineStr">
        <is>
          <t>opc-09-pack.png</t>
        </is>
      </c>
      <c r="G126" t="inlineStr">
        <is>
          <t>/products/onepiece-official/opc-09-pack.png</t>
        </is>
      </c>
      <c r="H126" t="inlineStr"/>
      <c r="I126" t="inlineStr">
        <is>
          <t>DB status=下架</t>
        </is>
      </c>
    </row>
    <row r="127">
      <c r="A127" t="n">
        <v>28</v>
      </c>
      <c r="B127" t="inlineStr">
        <is>
          <t>OPC-09 新帝降临 散包（简中）</t>
        </is>
      </c>
      <c r="C127" t="inlineStr">
        <is>
          <t>OPC-09 新帝降临</t>
        </is>
      </c>
      <c r="D127" t="inlineStr">
        <is>
          <t>已备份</t>
        </is>
      </c>
      <c r="E127" t="inlineStr">
        <is>
          <t>OPC-09 新帝降临 散包（简中）</t>
        </is>
      </c>
      <c r="F127" t="inlineStr">
        <is>
          <t>opc-09-pack.png</t>
        </is>
      </c>
      <c r="G127" t="inlineStr">
        <is>
          <t>/products/onepiece-official/opc-09-pack.png</t>
        </is>
      </c>
      <c r="H127" t="inlineStr"/>
      <c r="I127" t="inlineStr">
        <is>
          <t>DB status=下架</t>
        </is>
      </c>
    </row>
    <row r="128">
      <c r="A128" t="n">
        <v>29</v>
      </c>
      <c r="B128" t="inlineStr">
        <is>
          <t>OPC-09 新帝降临 原箱（简中）</t>
        </is>
      </c>
      <c r="C128" t="inlineStr">
        <is>
          <t>OPC-09 新帝降临</t>
        </is>
      </c>
      <c r="D128" t="inlineStr">
        <is>
          <t>已备份</t>
        </is>
      </c>
      <c r="E128" t="inlineStr">
        <is>
          <t>OPC-09 新帝降临 原箱（简中）</t>
        </is>
      </c>
      <c r="F128" t="inlineStr">
        <is>
          <t>opc-09-pack.png</t>
        </is>
      </c>
      <c r="G128" t="inlineStr">
        <is>
          <t>/products/onepiece-official/opc-09-pack.png</t>
        </is>
      </c>
      <c r="H128" t="inlineStr"/>
      <c r="I128" t="inlineStr">
        <is>
          <t>DB status=下架</t>
        </is>
      </c>
    </row>
    <row r="129">
      <c r="A129" t="n">
        <v>30</v>
      </c>
      <c r="B129" t="inlineStr">
        <is>
          <t>OPC-08 双子传说 原盒（简中）</t>
        </is>
      </c>
      <c r="C129" t="inlineStr">
        <is>
          <t>OPC-08</t>
        </is>
      </c>
      <c r="D129" t="inlineStr">
        <is>
          <t>已备份</t>
        </is>
      </c>
      <c r="E129" t="inlineStr">
        <is>
          <t>OPC-08 双子传说 原盒（简中）</t>
        </is>
      </c>
      <c r="F129" t="inlineStr">
        <is>
          <t>opc-08-pack.png</t>
        </is>
      </c>
      <c r="G129" t="inlineStr">
        <is>
          <t>/products/onepiece-official/opc-08-pack.png</t>
        </is>
      </c>
      <c r="H129" t="inlineStr"/>
      <c r="I129" t="inlineStr">
        <is>
          <t>DB status=上架</t>
        </is>
      </c>
    </row>
    <row r="130">
      <c r="A130" t="n">
        <v>31</v>
      </c>
      <c r="B130" t="inlineStr">
        <is>
          <t>OPC-08 双子传说 散包（简中）</t>
        </is>
      </c>
      <c r="C130" t="inlineStr">
        <is>
          <t>OPC-08</t>
        </is>
      </c>
      <c r="D130" t="inlineStr">
        <is>
          <t>已备份</t>
        </is>
      </c>
      <c r="E130" t="inlineStr">
        <is>
          <t>OPC-08 双子传说 散包（简中）</t>
        </is>
      </c>
      <c r="F130" t="inlineStr">
        <is>
          <t>opc-08-pack.png</t>
        </is>
      </c>
      <c r="G130" t="inlineStr">
        <is>
          <t>/products/onepiece-official/opc-08-pack.png</t>
        </is>
      </c>
      <c r="H130" t="inlineStr"/>
      <c r="I130" t="inlineStr">
        <is>
          <t>DB status=上架</t>
        </is>
      </c>
    </row>
    <row r="131">
      <c r="A131" t="n">
        <v>32</v>
      </c>
      <c r="B131" t="inlineStr">
        <is>
          <t>OPC-08 双子传说 原箱（简中）</t>
        </is>
      </c>
      <c r="C131" t="inlineStr">
        <is>
          <t>OPC-08</t>
        </is>
      </c>
      <c r="D131" t="inlineStr">
        <is>
          <t>已备份</t>
        </is>
      </c>
      <c r="E131" t="inlineStr">
        <is>
          <t>OPC-08 双子传说 原箱（简中）</t>
        </is>
      </c>
      <c r="F131" t="inlineStr">
        <is>
          <t>opc-08-pack.png</t>
        </is>
      </c>
      <c r="G131" t="inlineStr">
        <is>
          <t>/products/onepiece-official/opc-08-pack.png</t>
        </is>
      </c>
      <c r="H131" t="inlineStr"/>
      <c r="I131" t="inlineStr">
        <is>
          <t>DB status=上架</t>
        </is>
      </c>
    </row>
    <row r="132">
      <c r="A132" t="n">
        <v>33</v>
      </c>
      <c r="B132" t="inlineStr">
        <is>
          <t>OPC-07 500年后的未来 原盒（简中）</t>
        </is>
      </c>
      <c r="C132" t="inlineStr">
        <is>
          <t>OPC-07</t>
        </is>
      </c>
      <c r="D132" t="inlineStr">
        <is>
          <t>已备份</t>
        </is>
      </c>
      <c r="E132" t="inlineStr">
        <is>
          <t>OPC-07 500年后的未来 原盒（简中）</t>
        </is>
      </c>
      <c r="F132" t="inlineStr">
        <is>
          <t>opc-07-pack.png</t>
        </is>
      </c>
      <c r="G132" t="inlineStr">
        <is>
          <t>/products/onepiece-official/opc-07-pack.png</t>
        </is>
      </c>
      <c r="H132" t="inlineStr"/>
      <c r="I132" t="inlineStr">
        <is>
          <t>DB status=上架</t>
        </is>
      </c>
    </row>
    <row r="133">
      <c r="A133" t="n">
        <v>34</v>
      </c>
      <c r="B133" t="inlineStr">
        <is>
          <t>OPC-07 500年后的未来 散包（简中）</t>
        </is>
      </c>
      <c r="C133" t="inlineStr">
        <is>
          <t>OPC-07</t>
        </is>
      </c>
      <c r="D133" t="inlineStr">
        <is>
          <t>已备份</t>
        </is>
      </c>
      <c r="E133" t="inlineStr">
        <is>
          <t>OPC-07 500年后的未来 散包（简中）</t>
        </is>
      </c>
      <c r="F133" t="inlineStr">
        <is>
          <t>opc-07-pack.png</t>
        </is>
      </c>
      <c r="G133" t="inlineStr">
        <is>
          <t>/products/onepiece-official/opc-07-pack.png</t>
        </is>
      </c>
      <c r="H133" t="inlineStr"/>
      <c r="I133" t="inlineStr">
        <is>
          <t>DB status=上架</t>
        </is>
      </c>
    </row>
    <row r="134">
      <c r="A134" t="n">
        <v>35</v>
      </c>
      <c r="B134" t="inlineStr">
        <is>
          <t>OPC-07 500年后的未来 原箱（简中）</t>
        </is>
      </c>
      <c r="C134" t="inlineStr">
        <is>
          <t>OPC-07</t>
        </is>
      </c>
      <c r="D134" t="inlineStr">
        <is>
          <t>已备份</t>
        </is>
      </c>
      <c r="E134" t="inlineStr">
        <is>
          <t>OPC-07 500年后的未来 原箱（简中）</t>
        </is>
      </c>
      <c r="F134" t="inlineStr">
        <is>
          <t>opc-07-pack.png</t>
        </is>
      </c>
      <c r="G134" t="inlineStr">
        <is>
          <t>/products/onepiece-official/opc-07-pack.png</t>
        </is>
      </c>
      <c r="H134" t="inlineStr"/>
      <c r="I134" t="inlineStr">
        <is>
          <t>DB status=上架</t>
        </is>
      </c>
    </row>
    <row r="135">
      <c r="A135" t="n">
        <v>36</v>
      </c>
      <c r="B135" t="inlineStr">
        <is>
          <t>OPC-06 双壁的霸者 原盒（简中）</t>
        </is>
      </c>
      <c r="C135" t="inlineStr">
        <is>
          <t>OPC-06</t>
        </is>
      </c>
      <c r="D135" t="inlineStr">
        <is>
          <t>已备份</t>
        </is>
      </c>
      <c r="E135" t="inlineStr">
        <is>
          <t>OPC-06 双壁的霸者 原盒（简中）</t>
        </is>
      </c>
      <c r="F135" t="inlineStr">
        <is>
          <t>opc-06-pack.png</t>
        </is>
      </c>
      <c r="G135" t="inlineStr">
        <is>
          <t>/products/onepiece-official/opc-06-pack.png</t>
        </is>
      </c>
      <c r="H135" t="inlineStr"/>
      <c r="I135" t="inlineStr">
        <is>
          <t>DB status=上架</t>
        </is>
      </c>
    </row>
    <row r="136">
      <c r="A136" t="n">
        <v>37</v>
      </c>
      <c r="B136" t="inlineStr">
        <is>
          <t>OPC-06 双壁的霸者 散包（简中）</t>
        </is>
      </c>
      <c r="C136" t="inlineStr">
        <is>
          <t>OPC-06</t>
        </is>
      </c>
      <c r="D136" t="inlineStr">
        <is>
          <t>已备份</t>
        </is>
      </c>
      <c r="E136" t="inlineStr">
        <is>
          <t>OPC-06 双壁的霸者 散包（简中）</t>
        </is>
      </c>
      <c r="F136" t="inlineStr">
        <is>
          <t>opc-06-pack.png</t>
        </is>
      </c>
      <c r="G136" t="inlineStr">
        <is>
          <t>/products/onepiece-official/opc-06-pack.png</t>
        </is>
      </c>
      <c r="H136" t="inlineStr"/>
      <c r="I136" t="inlineStr">
        <is>
          <t>DB status=上架</t>
        </is>
      </c>
    </row>
    <row r="137">
      <c r="A137" t="n">
        <v>38</v>
      </c>
      <c r="B137" t="inlineStr">
        <is>
          <t>OPC-06 双壁的霸者 原箱（简中）</t>
        </is>
      </c>
      <c r="C137" t="inlineStr">
        <is>
          <t>OPC-06</t>
        </is>
      </c>
      <c r="D137" t="inlineStr">
        <is>
          <t>已备份</t>
        </is>
      </c>
      <c r="E137" t="inlineStr">
        <is>
          <t>OPC-06 双壁的霸者 原箱（简中）</t>
        </is>
      </c>
      <c r="F137" t="inlineStr">
        <is>
          <t>opc-06-pack.png</t>
        </is>
      </c>
      <c r="G137" t="inlineStr">
        <is>
          <t>/products/onepiece-official/opc-06-pack.png</t>
        </is>
      </c>
      <c r="H137" t="inlineStr"/>
      <c r="I137" t="inlineStr">
        <is>
          <t>DB status=上架</t>
        </is>
      </c>
    </row>
    <row r="138">
      <c r="A138" t="n">
        <v>39</v>
      </c>
      <c r="B138" t="inlineStr">
        <is>
          <t>OPC-05 新时代的主角 原盒（简中）</t>
        </is>
      </c>
      <c r="C138" t="inlineStr">
        <is>
          <t>OPC-05</t>
        </is>
      </c>
      <c r="D138" t="inlineStr">
        <is>
          <t>已备份</t>
        </is>
      </c>
      <c r="E138" t="inlineStr">
        <is>
          <t>OPC-05 新时代的主角 原盒（简中）</t>
        </is>
      </c>
      <c r="F138" t="inlineStr">
        <is>
          <t>opc-05-pack.png</t>
        </is>
      </c>
      <c r="G138" t="inlineStr">
        <is>
          <t>/products/onepiece-official/opc-05-pack.png</t>
        </is>
      </c>
      <c r="H138" t="inlineStr"/>
      <c r="I138" t="inlineStr">
        <is>
          <t>DB status=上架</t>
        </is>
      </c>
    </row>
    <row r="139">
      <c r="A139" t="n">
        <v>40</v>
      </c>
      <c r="B139" t="inlineStr">
        <is>
          <t>OPC-05 新时代的主角 散包（简中）</t>
        </is>
      </c>
      <c r="C139" t="inlineStr">
        <is>
          <t>OPC-05</t>
        </is>
      </c>
      <c r="D139" t="inlineStr">
        <is>
          <t>已备份</t>
        </is>
      </c>
      <c r="E139" t="inlineStr">
        <is>
          <t>OPC-05 新时代的主角 散包（简中）</t>
        </is>
      </c>
      <c r="F139" t="inlineStr">
        <is>
          <t>opc-05-pack.png</t>
        </is>
      </c>
      <c r="G139" t="inlineStr">
        <is>
          <t>/products/onepiece-official/opc-05-pack.png</t>
        </is>
      </c>
      <c r="H139" t="inlineStr"/>
      <c r="I139" t="inlineStr">
        <is>
          <t>DB status=上架</t>
        </is>
      </c>
    </row>
    <row r="140">
      <c r="A140" t="n">
        <v>41</v>
      </c>
      <c r="B140" t="inlineStr">
        <is>
          <t>OPC-05 新时代的主角 原箱（简中）</t>
        </is>
      </c>
      <c r="C140" t="inlineStr">
        <is>
          <t>OPC-05</t>
        </is>
      </c>
      <c r="D140" t="inlineStr">
        <is>
          <t>已备份</t>
        </is>
      </c>
      <c r="E140" t="inlineStr">
        <is>
          <t>OPC-05 新时代的主角 原箱（简中）</t>
        </is>
      </c>
      <c r="F140" t="inlineStr">
        <is>
          <t>opc-05-pack.png</t>
        </is>
      </c>
      <c r="G140" t="inlineStr">
        <is>
          <t>/products/onepiece-official/opc-05-pack.png</t>
        </is>
      </c>
      <c r="H140" t="inlineStr"/>
      <c r="I140" t="inlineStr">
        <is>
          <t>DB status=上架</t>
        </is>
      </c>
    </row>
    <row r="141">
      <c r="A141" t="n">
        <v>42</v>
      </c>
      <c r="B141" t="inlineStr">
        <is>
          <t>OPC-04 诡计的王国 原盒（简中）</t>
        </is>
      </c>
      <c r="C141" t="inlineStr">
        <is>
          <t>OPC-04</t>
        </is>
      </c>
      <c r="D141" t="inlineStr">
        <is>
          <t>已备份</t>
        </is>
      </c>
      <c r="E141" t="inlineStr">
        <is>
          <t>OPC-04 诡计的王国 原盒（简中）</t>
        </is>
      </c>
      <c r="F141" t="inlineStr">
        <is>
          <t>opc-04-pack.png</t>
        </is>
      </c>
      <c r="G141" t="inlineStr">
        <is>
          <t>/products/onepiece-official/opc-04-pack.png</t>
        </is>
      </c>
      <c r="H141" t="inlineStr"/>
      <c r="I141" t="inlineStr">
        <is>
          <t>DB status=上架</t>
        </is>
      </c>
    </row>
    <row r="142">
      <c r="A142" t="n">
        <v>43</v>
      </c>
      <c r="B142" t="inlineStr">
        <is>
          <t>OPC-04 诡计的王国 散包（简中）</t>
        </is>
      </c>
      <c r="C142" t="inlineStr">
        <is>
          <t>OPC-04</t>
        </is>
      </c>
      <c r="D142" t="inlineStr">
        <is>
          <t>已备份</t>
        </is>
      </c>
      <c r="E142" t="inlineStr">
        <is>
          <t>OPC-04 诡计的王国 散包（简中）</t>
        </is>
      </c>
      <c r="F142" t="inlineStr">
        <is>
          <t>opc-04-pack.png</t>
        </is>
      </c>
      <c r="G142" t="inlineStr">
        <is>
          <t>/products/onepiece-official/opc-04-pack.png</t>
        </is>
      </c>
      <c r="H142" t="inlineStr"/>
      <c r="I142" t="inlineStr">
        <is>
          <t>DB status=上架</t>
        </is>
      </c>
    </row>
    <row r="143">
      <c r="A143" t="n">
        <v>44</v>
      </c>
      <c r="B143" t="inlineStr">
        <is>
          <t>OPC-04 诡计的王国 原箱（简中）</t>
        </is>
      </c>
      <c r="C143" t="inlineStr">
        <is>
          <t>OPC-04</t>
        </is>
      </c>
      <c r="D143" t="inlineStr">
        <is>
          <t>已备份</t>
        </is>
      </c>
      <c r="E143" t="inlineStr">
        <is>
          <t>OPC-04 诡计的王国 原箱（简中）</t>
        </is>
      </c>
      <c r="F143" t="inlineStr">
        <is>
          <t>opc-04-pack.png</t>
        </is>
      </c>
      <c r="G143" t="inlineStr">
        <is>
          <t>/products/onepiece-official/opc-04-pack.png</t>
        </is>
      </c>
      <c r="H143" t="inlineStr"/>
      <c r="I143" t="inlineStr">
        <is>
          <t>DB status=上架</t>
        </is>
      </c>
    </row>
    <row r="144">
      <c r="A144" t="n">
        <v>45</v>
      </c>
      <c r="B144" t="inlineStr">
        <is>
          <t>OPC-03 强大的敌人 原盒（简中）</t>
        </is>
      </c>
      <c r="C144" t="inlineStr">
        <is>
          <t>OPC-03</t>
        </is>
      </c>
      <c r="D144" t="inlineStr">
        <is>
          <t>已备份</t>
        </is>
      </c>
      <c r="E144" t="inlineStr">
        <is>
          <t>OPC-03 强大的敌人 原盒（简中）</t>
        </is>
      </c>
      <c r="F144" t="inlineStr">
        <is>
          <t>opc-03-pack.png</t>
        </is>
      </c>
      <c r="G144" t="inlineStr">
        <is>
          <t>/products/onepiece-official/opc-03-pack.png</t>
        </is>
      </c>
      <c r="H144" t="inlineStr"/>
      <c r="I144" t="inlineStr">
        <is>
          <t>DB status=上架</t>
        </is>
      </c>
    </row>
    <row r="145">
      <c r="A145" t="n">
        <v>46</v>
      </c>
      <c r="B145" t="inlineStr">
        <is>
          <t>OPC-03 强大的敌人 散包（简中）</t>
        </is>
      </c>
      <c r="C145" t="inlineStr">
        <is>
          <t>OPC-03</t>
        </is>
      </c>
      <c r="D145" t="inlineStr">
        <is>
          <t>已备份</t>
        </is>
      </c>
      <c r="E145" t="inlineStr">
        <is>
          <t>OPC-03 强大的敌人 散包（简中）</t>
        </is>
      </c>
      <c r="F145" t="inlineStr">
        <is>
          <t>opc-03-pack.png</t>
        </is>
      </c>
      <c r="G145" t="inlineStr">
        <is>
          <t>/products/onepiece-official/opc-03-pack.png</t>
        </is>
      </c>
      <c r="H145" t="inlineStr"/>
      <c r="I145" t="inlineStr">
        <is>
          <t>DB status=上架</t>
        </is>
      </c>
    </row>
    <row r="146">
      <c r="A146" t="n">
        <v>47</v>
      </c>
      <c r="B146" t="inlineStr">
        <is>
          <t>OPC-03 强大的敌人 原箱（简中）</t>
        </is>
      </c>
      <c r="C146" t="inlineStr">
        <is>
          <t>OPC-03</t>
        </is>
      </c>
      <c r="D146" t="inlineStr">
        <is>
          <t>已备份</t>
        </is>
      </c>
      <c r="E146" t="inlineStr">
        <is>
          <t>OPC-03 强大的敌人 原箱（简中）</t>
        </is>
      </c>
      <c r="F146" t="inlineStr">
        <is>
          <t>opc-03-pack.png</t>
        </is>
      </c>
      <c r="G146" t="inlineStr">
        <is>
          <t>/products/onepiece-official/opc-03-pack.png</t>
        </is>
      </c>
      <c r="H146" t="inlineStr"/>
      <c r="I146" t="inlineStr">
        <is>
          <t>DB status=上架</t>
        </is>
      </c>
    </row>
    <row r="147">
      <c r="A147" t="n">
        <v>48</v>
      </c>
      <c r="B147" t="inlineStr">
        <is>
          <t>OPC-02 顶尖决战 原盒（简中）</t>
        </is>
      </c>
      <c r="C147" t="inlineStr">
        <is>
          <t>OPC-02</t>
        </is>
      </c>
      <c r="D147" t="inlineStr">
        <is>
          <t>已备份</t>
        </is>
      </c>
      <c r="E147" t="inlineStr">
        <is>
          <t>OPC-02 顶尖决战 原盒（简中）</t>
        </is>
      </c>
      <c r="F147" t="inlineStr">
        <is>
          <t>opc-02-pack.png</t>
        </is>
      </c>
      <c r="G147" t="inlineStr">
        <is>
          <t>/products/onepiece-official/opc-02-pack.png</t>
        </is>
      </c>
      <c r="H147" t="inlineStr"/>
      <c r="I147" t="inlineStr">
        <is>
          <t>DB status=上架</t>
        </is>
      </c>
    </row>
    <row r="148">
      <c r="A148" t="n">
        <v>49</v>
      </c>
      <c r="B148" t="inlineStr">
        <is>
          <t>OPC-02 顶尖决战 散包（简中）</t>
        </is>
      </c>
      <c r="C148" t="inlineStr">
        <is>
          <t>OPC-02</t>
        </is>
      </c>
      <c r="D148" t="inlineStr">
        <is>
          <t>已备份</t>
        </is>
      </c>
      <c r="E148" t="inlineStr">
        <is>
          <t>OPC-02 顶尖决战 散包（简中）</t>
        </is>
      </c>
      <c r="F148" t="inlineStr">
        <is>
          <t>opc-02-pack.png</t>
        </is>
      </c>
      <c r="G148" t="inlineStr">
        <is>
          <t>/products/onepiece-official/opc-02-pack.png</t>
        </is>
      </c>
      <c r="H148" t="inlineStr"/>
      <c r="I148" t="inlineStr">
        <is>
          <t>DB status=上架</t>
        </is>
      </c>
    </row>
    <row r="149">
      <c r="A149" t="n">
        <v>50</v>
      </c>
      <c r="B149" t="inlineStr">
        <is>
          <t>OPC-02 顶尖决战 原箱（简中）</t>
        </is>
      </c>
      <c r="C149" t="inlineStr">
        <is>
          <t>OPC-02</t>
        </is>
      </c>
      <c r="D149" t="inlineStr">
        <is>
          <t>已备份</t>
        </is>
      </c>
      <c r="E149" t="inlineStr">
        <is>
          <t>OPC-02 顶尖决战 原箱（简中）</t>
        </is>
      </c>
      <c r="F149" t="inlineStr">
        <is>
          <t>opc-02-pack.png</t>
        </is>
      </c>
      <c r="G149" t="inlineStr">
        <is>
          <t>/products/onepiece-official/opc-02-pack.png</t>
        </is>
      </c>
      <c r="H149" t="inlineStr"/>
      <c r="I149" t="inlineStr">
        <is>
          <t>DB status=上架</t>
        </is>
      </c>
    </row>
    <row r="150">
      <c r="A150" t="n">
        <v>51</v>
      </c>
      <c r="B150" t="inlineStr">
        <is>
          <t>OPC-01 冒险的黎明 原盒（简中）</t>
        </is>
      </c>
      <c r="C150" t="inlineStr">
        <is>
          <t>OPC-01</t>
        </is>
      </c>
      <c r="D150" t="inlineStr">
        <is>
          <t>已备份</t>
        </is>
      </c>
      <c r="E150" t="inlineStr">
        <is>
          <t>OPC-01 冒险的黎明 原盒（简中）</t>
        </is>
      </c>
      <c r="F150" t="inlineStr">
        <is>
          <t>opc-01-pack.png</t>
        </is>
      </c>
      <c r="G150" t="inlineStr">
        <is>
          <t>/products/onepiece-official/opc-01-pack.png</t>
        </is>
      </c>
      <c r="H150" t="inlineStr"/>
      <c r="I150" t="inlineStr">
        <is>
          <t>DB status=上架</t>
        </is>
      </c>
    </row>
    <row r="151">
      <c r="A151" t="n">
        <v>52</v>
      </c>
      <c r="B151" t="inlineStr">
        <is>
          <t>OPC-01 冒险的黎明 散包（简中）</t>
        </is>
      </c>
      <c r="C151" t="inlineStr">
        <is>
          <t>OPC-01</t>
        </is>
      </c>
      <c r="D151" t="inlineStr">
        <is>
          <t>已备份</t>
        </is>
      </c>
      <c r="E151" t="inlineStr">
        <is>
          <t>OPC-01 冒险的黎明 散包（简中）</t>
        </is>
      </c>
      <c r="F151" t="inlineStr">
        <is>
          <t>opc-01-pack.png</t>
        </is>
      </c>
      <c r="G151" t="inlineStr">
        <is>
          <t>/products/onepiece-official/opc-01-pack.png</t>
        </is>
      </c>
      <c r="H151" t="inlineStr"/>
      <c r="I151" t="inlineStr">
        <is>
          <t>DB status=上架</t>
        </is>
      </c>
    </row>
    <row r="152">
      <c r="A152" t="n">
        <v>53</v>
      </c>
      <c r="B152" t="inlineStr">
        <is>
          <t>OPC-01 冒险的黎明 原箱（简中）</t>
        </is>
      </c>
      <c r="C152" t="inlineStr">
        <is>
          <t>OPC-01</t>
        </is>
      </c>
      <c r="D152" t="inlineStr">
        <is>
          <t>已备份</t>
        </is>
      </c>
      <c r="E152" t="inlineStr">
        <is>
          <t>OPC-01 冒险的黎明 原箱（简中）</t>
        </is>
      </c>
      <c r="F152" t="inlineStr">
        <is>
          <t>opc-01-pack.png</t>
        </is>
      </c>
      <c r="G152" t="inlineStr">
        <is>
          <t>/products/onepiece-official/opc-01-pack.png</t>
        </is>
      </c>
      <c r="H152" t="inlineStr"/>
      <c r="I152" t="inlineStr">
        <is>
          <t>DB status=上架</t>
        </is>
      </c>
    </row>
    <row r="153">
      <c r="A153" t="n">
        <v>55</v>
      </c>
      <c r="B153" t="inlineStr">
        <is>
          <t>EB 特别补充包</t>
        </is>
      </c>
      <c r="C153" t="inlineStr"/>
      <c r="D153" t="inlineStr">
        <is>
          <t>已备份</t>
        </is>
      </c>
      <c r="E153" t="inlineStr">
        <is>
          <t>EB 特别补充包</t>
        </is>
      </c>
      <c r="F153" t="inlineStr">
        <is>
          <t>placeholder.svg</t>
        </is>
      </c>
      <c r="G153" t="inlineStr">
        <is>
          <t>/products/placeholder.svg</t>
        </is>
      </c>
      <c r="H153" t="inlineStr"/>
      <c r="I153" t="inlineStr">
        <is>
          <t>DB status=下架</t>
        </is>
      </c>
    </row>
    <row r="154">
      <c r="A154" t="n">
        <v>56</v>
      </c>
      <c r="B154" t="inlineStr">
        <is>
          <t>EBC-04 艾格赫德危机 原盒（简中）</t>
        </is>
      </c>
      <c r="C154" t="inlineStr">
        <is>
          <t>EBC-04</t>
        </is>
      </c>
      <c r="D154" t="inlineStr">
        <is>
          <t>已备份</t>
        </is>
      </c>
      <c r="E154" t="inlineStr">
        <is>
          <t>EBC-04 艾格赫德危机 原盒（简中）</t>
        </is>
      </c>
      <c r="F154" t="inlineStr">
        <is>
          <t>ebc-04-pack.png</t>
        </is>
      </c>
      <c r="G154" t="inlineStr">
        <is>
          <t>/products/onepiece-official/ebc-04-pack.png</t>
        </is>
      </c>
      <c r="H154" t="inlineStr"/>
      <c r="I154" t="inlineStr">
        <is>
          <t>DB status=上架</t>
        </is>
      </c>
    </row>
    <row r="155">
      <c r="A155" t="n">
        <v>57</v>
      </c>
      <c r="B155" t="inlineStr">
        <is>
          <t>EBC-04 艾格赫德危机 散包（简中）</t>
        </is>
      </c>
      <c r="C155" t="inlineStr">
        <is>
          <t>EBC-04</t>
        </is>
      </c>
      <c r="D155" t="inlineStr">
        <is>
          <t>已备份</t>
        </is>
      </c>
      <c r="E155" t="inlineStr">
        <is>
          <t>EBC-04 艾格赫德危机 散包（简中）</t>
        </is>
      </c>
      <c r="F155" t="inlineStr">
        <is>
          <t>ebc-04-pack.png</t>
        </is>
      </c>
      <c r="G155" t="inlineStr">
        <is>
          <t>/products/onepiece-official/ebc-04-pack.png</t>
        </is>
      </c>
      <c r="H155" t="inlineStr"/>
      <c r="I155" t="inlineStr">
        <is>
          <t>DB status=上架</t>
        </is>
      </c>
    </row>
    <row r="156">
      <c r="A156" t="n">
        <v>58</v>
      </c>
      <c r="B156" t="inlineStr">
        <is>
          <t>EBC-04 艾格赫德危机 原箱（简中）</t>
        </is>
      </c>
      <c r="C156" t="inlineStr">
        <is>
          <t>EBC-04</t>
        </is>
      </c>
      <c r="D156" t="inlineStr">
        <is>
          <t>已备份</t>
        </is>
      </c>
      <c r="E156" t="inlineStr">
        <is>
          <t>EBC-04 艾格赫德危机 原箱（简中）</t>
        </is>
      </c>
      <c r="F156" t="inlineStr">
        <is>
          <t>ebc-04-pack.png</t>
        </is>
      </c>
      <c r="G156" t="inlineStr">
        <is>
          <t>/products/onepiece-official/ebc-04-pack.png</t>
        </is>
      </c>
      <c r="H156" t="inlineStr"/>
      <c r="I156" t="inlineStr">
        <is>
          <t>DB status=上架</t>
        </is>
      </c>
    </row>
    <row r="157">
      <c r="A157" t="n">
        <v>65</v>
      </c>
      <c r="B157" t="inlineStr">
        <is>
          <t>EB-01 特别补充包 纪念收藏合集 原盒（简中）</t>
        </is>
      </c>
      <c r="C157" t="inlineStr">
        <is>
          <t>EB-01</t>
        </is>
      </c>
      <c r="D157" t="inlineStr">
        <is>
          <t>已备份</t>
        </is>
      </c>
      <c r="E157" t="inlineStr">
        <is>
          <t>EB-01 特别补充包 纪念收藏合集 原盒（简中）</t>
        </is>
      </c>
      <c r="F157" t="inlineStr">
        <is>
          <t>ebc-01-pack.png</t>
        </is>
      </c>
      <c r="G157" t="inlineStr">
        <is>
          <t>/products/onepiece-official/ebc-01-pack.png</t>
        </is>
      </c>
      <c r="H157" t="inlineStr"/>
      <c r="I157" t="inlineStr">
        <is>
          <t>DB status=上架</t>
        </is>
      </c>
    </row>
    <row r="158">
      <c r="A158" t="n">
        <v>66</v>
      </c>
      <c r="B158" t="inlineStr">
        <is>
          <t>PRB 豪华补充包 / 典藏包</t>
        </is>
      </c>
      <c r="C158" t="inlineStr"/>
      <c r="D158" t="inlineStr">
        <is>
          <t>已备份</t>
        </is>
      </c>
      <c r="E158" t="inlineStr">
        <is>
          <t>PRB 豪华补充包 / 典藏包</t>
        </is>
      </c>
      <c r="F158" t="inlineStr">
        <is>
          <t>placeholder.svg</t>
        </is>
      </c>
      <c r="G158" t="inlineStr">
        <is>
          <t>/products/placeholder.svg</t>
        </is>
      </c>
      <c r="H158" t="inlineStr"/>
      <c r="I158" t="inlineStr">
        <is>
          <t>DB status=下架</t>
        </is>
      </c>
    </row>
    <row r="159">
      <c r="A159" t="n">
        <v>67</v>
      </c>
      <c r="B159" t="inlineStr">
        <is>
          <t>PRBC-02 历代典藏合集 Vol.2 原盒（简中）</t>
        </is>
      </c>
      <c r="C159" t="inlineStr">
        <is>
          <t>PRBC-02</t>
        </is>
      </c>
      <c r="D159" t="inlineStr">
        <is>
          <t>已备份</t>
        </is>
      </c>
      <c r="E159" t="inlineStr">
        <is>
          <t>PRBC-02 历代典藏合集 Vol.2 原盒（简中）</t>
        </is>
      </c>
      <c r="F159" t="inlineStr">
        <is>
          <t>prbc-02-pack.png</t>
        </is>
      </c>
      <c r="G159" t="inlineStr">
        <is>
          <t>/products/onepiece-official/prbc-02-pack.png</t>
        </is>
      </c>
      <c r="H159" t="inlineStr"/>
      <c r="I159" t="inlineStr">
        <is>
          <t>DB status=上架</t>
        </is>
      </c>
    </row>
    <row r="160">
      <c r="A160" t="n">
        <v>68</v>
      </c>
      <c r="B160" t="inlineStr">
        <is>
          <t>PRBC-02 历代典藏合集 Vol.2 散包（简中）</t>
        </is>
      </c>
      <c r="C160" t="inlineStr">
        <is>
          <t>PRBC-02</t>
        </is>
      </c>
      <c r="D160" t="inlineStr">
        <is>
          <t>已备份</t>
        </is>
      </c>
      <c r="E160" t="inlineStr">
        <is>
          <t>PRBC-02 历代典藏合集 Vol.2 散包（简中）</t>
        </is>
      </c>
      <c r="F160" t="inlineStr">
        <is>
          <t>prbc-02-pack.png</t>
        </is>
      </c>
      <c r="G160" t="inlineStr">
        <is>
          <t>/products/onepiece-official/prbc-02-pack.png</t>
        </is>
      </c>
      <c r="H160" t="inlineStr"/>
      <c r="I160" t="inlineStr">
        <is>
          <t>DB status=上架</t>
        </is>
      </c>
    </row>
    <row r="161">
      <c r="A161" t="n">
        <v>69</v>
      </c>
      <c r="B161" t="inlineStr">
        <is>
          <t>PRBC-02 历代典藏合集 Vol.2 原箱（简中）</t>
        </is>
      </c>
      <c r="C161" t="inlineStr">
        <is>
          <t>PRBC-02</t>
        </is>
      </c>
      <c r="D161" t="inlineStr">
        <is>
          <t>已备份</t>
        </is>
      </c>
      <c r="E161" t="inlineStr">
        <is>
          <t>PRBC-02 历代典藏合集 Vol.2 原箱（简中）</t>
        </is>
      </c>
      <c r="F161" t="inlineStr">
        <is>
          <t>prbc-02-pack.png</t>
        </is>
      </c>
      <c r="G161" t="inlineStr">
        <is>
          <t>/products/onepiece-official/prbc-02-pack.png</t>
        </is>
      </c>
      <c r="H161" t="inlineStr"/>
      <c r="I161" t="inlineStr">
        <is>
          <t>DB status=上架</t>
        </is>
      </c>
    </row>
    <row r="162">
      <c r="A162" t="n">
        <v>70</v>
      </c>
      <c r="B162" t="inlineStr">
        <is>
          <t>PRBC-01 历代典藏合集 原盒（简中）</t>
        </is>
      </c>
      <c r="C162" t="inlineStr">
        <is>
          <t>PRBC-01</t>
        </is>
      </c>
      <c r="D162" t="inlineStr">
        <is>
          <t>已备份</t>
        </is>
      </c>
      <c r="E162" t="inlineStr">
        <is>
          <t>PRBC-01 历代典藏合集 原盒（简中）</t>
        </is>
      </c>
      <c r="F162" t="inlineStr">
        <is>
          <t>prbc-01-pack.png</t>
        </is>
      </c>
      <c r="G162" t="inlineStr">
        <is>
          <t>/products/onepiece-official/prbc-01-pack.png</t>
        </is>
      </c>
      <c r="H162" t="inlineStr"/>
      <c r="I162" t="inlineStr">
        <is>
          <t>DB status=上架</t>
        </is>
      </c>
    </row>
    <row r="163">
      <c r="A163" t="n">
        <v>71</v>
      </c>
      <c r="B163" t="inlineStr">
        <is>
          <t>PRBC-01 历代典藏合集 散包（简中）</t>
        </is>
      </c>
      <c r="C163" t="inlineStr">
        <is>
          <t>PRBC-01</t>
        </is>
      </c>
      <c r="D163" t="inlineStr">
        <is>
          <t>已备份</t>
        </is>
      </c>
      <c r="E163" t="inlineStr">
        <is>
          <t>PRBC-01 历代典藏合集 散包（简中）</t>
        </is>
      </c>
      <c r="F163" t="inlineStr">
        <is>
          <t>prbc-01-pack.png</t>
        </is>
      </c>
      <c r="G163" t="inlineStr">
        <is>
          <t>/products/onepiece-official/prbc-01-pack.png</t>
        </is>
      </c>
      <c r="H163" t="inlineStr"/>
      <c r="I163" t="inlineStr">
        <is>
          <t>DB status=上架</t>
        </is>
      </c>
    </row>
    <row r="164">
      <c r="A164" t="n">
        <v>72</v>
      </c>
      <c r="B164" t="inlineStr">
        <is>
          <t>PRBC-01 历代典藏合集 原箱（简中）</t>
        </is>
      </c>
      <c r="C164" t="inlineStr">
        <is>
          <t>PRBC-01</t>
        </is>
      </c>
      <c r="D164" t="inlineStr">
        <is>
          <t>已备份</t>
        </is>
      </c>
      <c r="E164" t="inlineStr">
        <is>
          <t>PRBC-01 历代典藏合集 原箱（简中）</t>
        </is>
      </c>
      <c r="F164" t="inlineStr">
        <is>
          <t>prbc-01-pack.png</t>
        </is>
      </c>
      <c r="G164" t="inlineStr">
        <is>
          <t>/products/onepiece-official/prbc-01-pack.png</t>
        </is>
      </c>
      <c r="H164" t="inlineStr"/>
      <c r="I164" t="inlineStr">
        <is>
          <t>DB status=上架</t>
        </is>
      </c>
    </row>
    <row r="165">
      <c r="A165" t="n">
        <v>75</v>
      </c>
      <c r="B165" t="inlineStr">
        <is>
          <t>基本卡组 对战进阶套组2026（官方名称，简中定价待官方公布）</t>
        </is>
      </c>
      <c r="C165" t="inlineStr">
        <is>
          <t>STC-31~36</t>
        </is>
      </c>
      <c r="D165" t="inlineStr">
        <is>
          <t>已备份</t>
        </is>
      </c>
      <c r="E165" t="inlineStr">
        <is>
          <t>基本卡组 对战进阶套组2026（官方名称，简中定价待官方公布）</t>
        </is>
      </c>
      <c r="F165" t="inlineStr">
        <is>
          <t>stc-31-36-decks.png</t>
        </is>
      </c>
      <c r="G165" t="inlineStr">
        <is>
          <t>/products/onepiece-official/stc-31-36-decks.png</t>
        </is>
      </c>
      <c r="H165" t="inlineStr"/>
      <c r="I165" t="inlineStr">
        <is>
          <t>DB status=上架</t>
        </is>
      </c>
    </row>
    <row r="166">
      <c r="A166" t="n">
        <v>76</v>
      </c>
      <c r="B166" t="inlineStr">
        <is>
          <t>基本卡组 艾格赫德（官方名称，简中定价待官方公布）</t>
        </is>
      </c>
      <c r="C166" t="inlineStr">
        <is>
          <t>STC-29</t>
        </is>
      </c>
      <c r="D166" t="inlineStr">
        <is>
          <t>已备份</t>
        </is>
      </c>
      <c r="E166" t="inlineStr">
        <is>
          <t>基本卡组 艾格赫德（官方名称，简中定价待官方公布）</t>
        </is>
      </c>
      <c r="F166" t="inlineStr">
        <is>
          <t>stc-29-deck.png</t>
        </is>
      </c>
      <c r="G166" t="inlineStr">
        <is>
          <t>/products/onepiece-official/stc-29-deck.png</t>
        </is>
      </c>
      <c r="H166" t="inlineStr"/>
      <c r="I166" t="inlineStr">
        <is>
          <t>DB status=上架</t>
        </is>
      </c>
    </row>
    <row r="167">
      <c r="A167" t="n">
        <v>77</v>
      </c>
      <c r="B167" t="inlineStr">
        <is>
          <t>基本卡组 对战进阶套组2025（官方名称，简中定价待官方公布）</t>
        </is>
      </c>
      <c r="C167" t="inlineStr">
        <is>
          <t>STC-23~28</t>
        </is>
      </c>
      <c r="D167" t="inlineStr">
        <is>
          <t>已备份</t>
        </is>
      </c>
      <c r="E167" t="inlineStr">
        <is>
          <t>基本卡组 对战进阶套组2025（官方名称，简中定价待官方公布）</t>
        </is>
      </c>
      <c r="F167" t="inlineStr">
        <is>
          <t>stc-23-28-decks.png</t>
        </is>
      </c>
      <c r="G167" t="inlineStr">
        <is>
          <t>/products/onepiece-official/stc-23-28-decks.png</t>
        </is>
      </c>
      <c r="H167" t="inlineStr"/>
      <c r="I167" t="inlineStr">
        <is>
          <t>DB status=上架</t>
        </is>
      </c>
    </row>
    <row r="168">
      <c r="A168" t="n">
        <v>78</v>
      </c>
      <c r="B168" t="inlineStr">
        <is>
          <t>基本卡组 两年后再出发（官方名称，简中定价待官方公布）</t>
        </is>
      </c>
      <c r="C168" t="inlineStr">
        <is>
          <t>STC-14</t>
        </is>
      </c>
      <c r="D168" t="inlineStr">
        <is>
          <t>已备份</t>
        </is>
      </c>
      <c r="E168" t="inlineStr">
        <is>
          <t>基本卡组 两年后再出发（官方名称，简中定价待官方公布）</t>
        </is>
      </c>
      <c r="F168" t="inlineStr">
        <is>
          <t>stc-14-deck.png</t>
        </is>
      </c>
      <c r="G168" t="inlineStr">
        <is>
          <t>/products/onepiece-official/stc-14-deck.png</t>
        </is>
      </c>
      <c r="H168" t="inlineStr"/>
      <c r="I168" t="inlineStr">
        <is>
          <t>DB status=上架</t>
        </is>
      </c>
    </row>
    <row r="169">
      <c r="A169" t="n">
        <v>79</v>
      </c>
      <c r="B169" t="inlineStr">
        <is>
          <t>究极进阶卡组 奇迹的再会（官方名称，简中定价待官方公布）</t>
        </is>
      </c>
      <c r="C169" t="inlineStr">
        <is>
          <t>STC-13</t>
        </is>
      </c>
      <c r="D169" t="inlineStr">
        <is>
          <t>已备份</t>
        </is>
      </c>
      <c r="E169" t="inlineStr">
        <is>
          <t>究极进阶卡组 奇迹的再会（官方名称，简中定价待官方公布）</t>
        </is>
      </c>
      <c r="F169" t="inlineStr">
        <is>
          <t>stc-13-deck.png</t>
        </is>
      </c>
      <c r="G169" t="inlineStr">
        <is>
          <t>/products/onepiece-official/stc-13-deck.png</t>
        </is>
      </c>
      <c r="H169" t="inlineStr"/>
      <c r="I169" t="inlineStr">
        <is>
          <t>DB status=上架</t>
        </is>
      </c>
    </row>
    <row r="170">
      <c r="A170" t="n">
        <v>80</v>
      </c>
      <c r="B170" t="inlineStr">
        <is>
          <t>基本卡组 佐罗＆山智（官方名称，简中定价待官方公布）</t>
        </is>
      </c>
      <c r="C170" t="inlineStr">
        <is>
          <t>STC-12</t>
        </is>
      </c>
      <c r="D170" t="inlineStr">
        <is>
          <t>已备份</t>
        </is>
      </c>
      <c r="E170" t="inlineStr">
        <is>
          <t>基本卡组 佐罗＆山智（官方名称，简中定价待官方公布）</t>
        </is>
      </c>
      <c r="F170" t="inlineStr">
        <is>
          <t>stc-12-deck.png</t>
        </is>
      </c>
      <c r="G170" t="inlineStr">
        <is>
          <t>/products/onepiece-official/stc-12-deck.png</t>
        </is>
      </c>
      <c r="H170" t="inlineStr"/>
      <c r="I170" t="inlineStr">
        <is>
          <t>DB status=上架</t>
        </is>
      </c>
    </row>
    <row r="171">
      <c r="A171" t="n">
        <v>81</v>
      </c>
      <c r="B171" t="inlineStr">
        <is>
          <t>究极进阶卡组 三方船长集结（官方名称，简中定价待官方公布）</t>
        </is>
      </c>
      <c r="C171" t="inlineStr">
        <is>
          <t>STC-10</t>
        </is>
      </c>
      <c r="D171" t="inlineStr">
        <is>
          <t>已备份</t>
        </is>
      </c>
      <c r="E171" t="inlineStr">
        <is>
          <t>究极进阶卡组 三方船长集结（官方名称，简中定价待官方公布）</t>
        </is>
      </c>
      <c r="F171" t="inlineStr">
        <is>
          <t>stc-10-deck.png</t>
        </is>
      </c>
      <c r="G171" t="inlineStr">
        <is>
          <t>/products/onepiece-official/stc-10-deck.png</t>
        </is>
      </c>
      <c r="H171" t="inlineStr"/>
      <c r="I171" t="inlineStr">
        <is>
          <t>DB status=上架</t>
        </is>
      </c>
    </row>
    <row r="172">
      <c r="A172" t="n">
        <v>82</v>
      </c>
      <c r="B172" t="inlineStr">
        <is>
          <t>基本卡组 继承御殿遗志的人（官方名称，简中定价待官方公布）</t>
        </is>
      </c>
      <c r="C172" t="inlineStr">
        <is>
          <t>STC-09</t>
        </is>
      </c>
      <c r="D172" t="inlineStr">
        <is>
          <t>已备份</t>
        </is>
      </c>
      <c r="E172" t="inlineStr">
        <is>
          <t>基本卡组 继承御殿遗志的人（官方名称，简中定价待官方公布）</t>
        </is>
      </c>
      <c r="F172" t="inlineStr">
        <is>
          <t>stc-09-deck.png</t>
        </is>
      </c>
      <c r="G172" t="inlineStr">
        <is>
          <t>/products/onepiece-official/stc-09-deck.png</t>
        </is>
      </c>
      <c r="H172" t="inlineStr"/>
      <c r="I172" t="inlineStr">
        <is>
          <t>DB status=上架</t>
        </is>
      </c>
    </row>
    <row r="173">
      <c r="A173" t="n">
        <v>83</v>
      </c>
      <c r="B173" t="inlineStr">
        <is>
          <t>基本卡组 第五个海上皇帝（官方名称，简中定价待官方公布）</t>
        </is>
      </c>
      <c r="C173" t="inlineStr">
        <is>
          <t>STC-08</t>
        </is>
      </c>
      <c r="D173" t="inlineStr">
        <is>
          <t>已备份</t>
        </is>
      </c>
      <c r="E173" t="inlineStr">
        <is>
          <t>基本卡组 第五个海上皇帝（官方名称，简中定价待官方公布）</t>
        </is>
      </c>
      <c r="F173" t="inlineStr">
        <is>
          <t>stc-08-deck.png</t>
        </is>
      </c>
      <c r="G173" t="inlineStr">
        <is>
          <t>/products/onepiece-official/stc-08-deck.png</t>
        </is>
      </c>
      <c r="H173" t="inlineStr"/>
      <c r="I173" t="inlineStr">
        <is>
          <t>DB status=上架</t>
        </is>
      </c>
    </row>
    <row r="174">
      <c r="A174" t="n">
        <v>84</v>
      </c>
      <c r="B174" t="inlineStr">
        <is>
          <t>基本卡组 大妈海盗团（官方名称，简中定价待官方公布）</t>
        </is>
      </c>
      <c r="C174" t="inlineStr">
        <is>
          <t>STC-07</t>
        </is>
      </c>
      <c r="D174" t="inlineStr">
        <is>
          <t>已备份</t>
        </is>
      </c>
      <c r="E174" t="inlineStr">
        <is>
          <t>基本卡组 大妈海盗团（官方名称，简中定价待官方公布）</t>
        </is>
      </c>
      <c r="F174" t="inlineStr">
        <is>
          <t>stc-07-deck.png</t>
        </is>
      </c>
      <c r="G174" t="inlineStr">
        <is>
          <t>/products/onepiece-official/stc-07-deck.png</t>
        </is>
      </c>
      <c r="H174" t="inlineStr"/>
      <c r="I174" t="inlineStr">
        <is>
          <t>DB status=上架</t>
        </is>
      </c>
    </row>
    <row r="175">
      <c r="A175" t="n">
        <v>85</v>
      </c>
      <c r="B175" t="inlineStr">
        <is>
          <t>STC-06 基本卡组 绝对正义（简中）</t>
        </is>
      </c>
      <c r="C175" t="inlineStr">
        <is>
          <t>STC-06</t>
        </is>
      </c>
      <c r="D175" t="inlineStr">
        <is>
          <t>已备份</t>
        </is>
      </c>
      <c r="E175" t="inlineStr">
        <is>
          <t>STC-06 基本卡组 绝对正义（简中）</t>
        </is>
      </c>
      <c r="F175" t="inlineStr">
        <is>
          <t>stc-06-deck.jpg</t>
        </is>
      </c>
      <c r="G175" t="inlineStr">
        <is>
          <t>/products/onepiece-official/stc-06-deck.jpg</t>
        </is>
      </c>
      <c r="H175" t="inlineStr"/>
      <c r="I175" t="inlineStr">
        <is>
          <t>DB status=上架</t>
        </is>
      </c>
    </row>
    <row r="176">
      <c r="A176" t="n">
        <v>86</v>
      </c>
      <c r="B176" t="inlineStr">
        <is>
          <t>基本卡组 ONE PIECE FILM edition（官方名称，简中定价待官方公布）</t>
        </is>
      </c>
      <c r="C176" t="inlineStr">
        <is>
          <t>STC-05</t>
        </is>
      </c>
      <c r="D176" t="inlineStr">
        <is>
          <t>已备份</t>
        </is>
      </c>
      <c r="E176" t="inlineStr">
        <is>
          <t>基本卡组 ONE PIECE FILM edition（官方名称，简中定价待官方公布）</t>
        </is>
      </c>
      <c r="F176" t="inlineStr">
        <is>
          <t>stc-05-deck.png</t>
        </is>
      </c>
      <c r="G176" t="inlineStr">
        <is>
          <t>/products/onepiece-official/stc-05-deck.png</t>
        </is>
      </c>
      <c r="H176" t="inlineStr"/>
      <c r="I176" t="inlineStr">
        <is>
          <t>DB status=上架</t>
        </is>
      </c>
    </row>
    <row r="177">
      <c r="A177" t="n">
        <v>87</v>
      </c>
      <c r="B177" t="inlineStr">
        <is>
          <t>STC-01 基本卡组 草帽一伙（简中）</t>
        </is>
      </c>
      <c r="C177" t="inlineStr">
        <is>
          <t>STC-01</t>
        </is>
      </c>
      <c r="D177" t="inlineStr">
        <is>
          <t>已备份</t>
        </is>
      </c>
      <c r="E177" t="inlineStr">
        <is>
          <t>STC-01 基本卡组 草帽一伙（简中）</t>
        </is>
      </c>
      <c r="F177" t="inlineStr">
        <is>
          <t>stc-01-deck.jpg</t>
        </is>
      </c>
      <c r="G177" t="inlineStr">
        <is>
          <t>/products/onepiece-official/stc-01-deck.jpg</t>
        </is>
      </c>
      <c r="H177" t="inlineStr"/>
      <c r="I177" t="inlineStr">
        <is>
          <t>DB status=上架</t>
        </is>
      </c>
    </row>
    <row r="178">
      <c r="A178" t="n">
        <v>88</v>
      </c>
      <c r="B178" t="inlineStr">
        <is>
          <t>STC-02 基本卡组 超新星们（简中）</t>
        </is>
      </c>
      <c r="C178" t="inlineStr">
        <is>
          <t>STC-02</t>
        </is>
      </c>
      <c r="D178" t="inlineStr">
        <is>
          <t>已备份</t>
        </is>
      </c>
      <c r="E178" t="inlineStr">
        <is>
          <t>STC-02 基本卡组 超新星们（简中）</t>
        </is>
      </c>
      <c r="F178" t="inlineStr">
        <is>
          <t>stc-02-deck.jpg</t>
        </is>
      </c>
      <c r="G178" t="inlineStr">
        <is>
          <t>/products/onepiece-official/stc-02-deck.jpg</t>
        </is>
      </c>
      <c r="H178" t="inlineStr"/>
      <c r="I178" t="inlineStr">
        <is>
          <t>DB status=上架</t>
        </is>
      </c>
    </row>
    <row r="179">
      <c r="A179" t="n">
        <v>89</v>
      </c>
      <c r="B179" t="inlineStr">
        <is>
          <t>STC-03 基本卡组 王下七武海（简中）</t>
        </is>
      </c>
      <c r="C179" t="inlineStr">
        <is>
          <t>STC-03</t>
        </is>
      </c>
      <c r="D179" t="inlineStr">
        <is>
          <t>已备份</t>
        </is>
      </c>
      <c r="E179" t="inlineStr">
        <is>
          <t>STC-03 基本卡组 王下七武海（简中）</t>
        </is>
      </c>
      <c r="F179" t="inlineStr">
        <is>
          <t>stc-03-deck.jpg</t>
        </is>
      </c>
      <c r="G179" t="inlineStr">
        <is>
          <t>/products/onepiece-official/stc-03-deck.jpg</t>
        </is>
      </c>
      <c r="H179" t="inlineStr"/>
      <c r="I179" t="inlineStr">
        <is>
          <t>DB status=上架</t>
        </is>
      </c>
    </row>
    <row r="180">
      <c r="A180" t="n">
        <v>90</v>
      </c>
      <c r="B180" t="inlineStr">
        <is>
          <t>STC-04 基本卡组 百兽海盗团（简中）</t>
        </is>
      </c>
      <c r="C180" t="inlineStr">
        <is>
          <t>STC-04</t>
        </is>
      </c>
      <c r="D180" t="inlineStr">
        <is>
          <t>已备份</t>
        </is>
      </c>
      <c r="E180" t="inlineStr">
        <is>
          <t>STC-04 基本卡组 百兽海盗团（简中）</t>
        </is>
      </c>
      <c r="F180" t="inlineStr">
        <is>
          <t>stc-04-deck.jpg</t>
        </is>
      </c>
      <c r="G180" t="inlineStr">
        <is>
          <t>/products/onepiece-official/stc-04-deck.jpg</t>
        </is>
      </c>
      <c r="H180" t="inlineStr"/>
      <c r="I180" t="inlineStr">
        <is>
          <t>DB status=上架</t>
        </is>
      </c>
    </row>
    <row r="181">
      <c r="A181" t="n">
        <v>91</v>
      </c>
      <c r="B181" t="inlineStr">
        <is>
          <t>基本卡组 变档5档（官方名称，简中定价待官方公布）</t>
        </is>
      </c>
      <c r="C181" t="inlineStr">
        <is>
          <t>STC-?</t>
        </is>
      </c>
      <c r="D181" t="inlineStr">
        <is>
          <t>已备份</t>
        </is>
      </c>
      <c r="E181" t="inlineStr">
        <is>
          <t>基本卡组 变档5档（官方名称，简中定价待官方公布）</t>
        </is>
      </c>
      <c r="F181" t="inlineStr">
        <is>
          <t>stc-15-deck.png</t>
        </is>
      </c>
      <c r="G181" t="inlineStr">
        <is>
          <t>/products/onepiece-official/stc-15-deck.png</t>
        </is>
      </c>
      <c r="H181" t="inlineStr"/>
      <c r="I181" t="inlineStr">
        <is>
          <t>DB status=上架</t>
        </is>
      </c>
    </row>
    <row r="182">
      <c r="A182" t="n">
        <v>92</v>
      </c>
      <c r="B182" t="inlineStr">
        <is>
          <t>基本卡组 艾斯和纽哥特（官方名称，简中定价待官方公布）</t>
        </is>
      </c>
      <c r="C182" t="inlineStr">
        <is>
          <t>STC-?</t>
        </is>
      </c>
      <c r="D182" t="inlineStr">
        <is>
          <t>已备份</t>
        </is>
      </c>
      <c r="E182" t="inlineStr">
        <is>
          <t>基本卡组 艾斯和纽哥特（官方名称，简中定价待官方公布）</t>
        </is>
      </c>
      <c r="F182" t="inlineStr">
        <is>
          <t>stc-30-deck.png</t>
        </is>
      </c>
      <c r="G182" t="inlineStr">
        <is>
          <t>/products/onepiece-official/stc-30-deck.png</t>
        </is>
      </c>
      <c r="H182" t="inlineStr"/>
      <c r="I182" t="inlineStr">
        <is>
          <t>DB status=上架</t>
        </is>
      </c>
    </row>
    <row r="183">
      <c r="A183" t="n">
        <v>93</v>
      </c>
      <c r="B183" t="inlineStr">
        <is>
          <t>基本卡组 路飞＆艾斯（官方名称，简中定价待官方公布）</t>
        </is>
      </c>
      <c r="C183" t="inlineStr">
        <is>
          <t>STC-?</t>
        </is>
      </c>
      <c r="D183" t="inlineStr">
        <is>
          <t>已备份</t>
        </is>
      </c>
      <c r="E183" t="inlineStr">
        <is>
          <t>基本卡组 路飞＆艾斯（官方名称，简中定价待官方公布）</t>
        </is>
      </c>
      <c r="F183" t="inlineStr">
        <is>
          <t>stc-22-deck.png</t>
        </is>
      </c>
      <c r="G183" t="inlineStr">
        <is>
          <t>/products/onepiece-official/stc-22-deck.png</t>
        </is>
      </c>
      <c r="H183" t="inlineStr"/>
      <c r="I183" t="inlineStr">
        <is>
          <t>DB status=上架</t>
        </is>
      </c>
    </row>
    <row r="184">
      <c r="A184" t="n">
        <v>96</v>
      </c>
      <c r="B184" t="inlineStr">
        <is>
          <t>航海王卡牌对战 四周年纪念套装（简中）</t>
        </is>
      </c>
      <c r="C184" t="inlineStr">
        <is>
          <t>航海王礼盒</t>
        </is>
      </c>
      <c r="D184" t="inlineStr">
        <is>
          <t>已备份</t>
        </is>
      </c>
      <c r="E184" t="inlineStr">
        <is>
          <t>航海王卡牌对战 四周年纪念套装（简中）</t>
        </is>
      </c>
      <c r="F184" t="inlineStr">
        <is>
          <t>gift-128.png</t>
        </is>
      </c>
      <c r="G184" t="inlineStr">
        <is>
          <t>/products/onepiece-official/gift-128.png</t>
        </is>
      </c>
      <c r="H184" t="inlineStr"/>
      <c r="I184" t="inlineStr">
        <is>
          <t>DB status=上架</t>
        </is>
      </c>
    </row>
    <row r="185">
      <c r="A185" t="n">
        <v>97</v>
      </c>
      <c r="B185" t="inlineStr">
        <is>
          <t>豪华卡牌收藏 精选套装 Vol.6（简中）</t>
        </is>
      </c>
      <c r="C185" t="inlineStr">
        <is>
          <t>航海王礼盒</t>
        </is>
      </c>
      <c r="D185" t="inlineStr">
        <is>
          <t>已备份</t>
        </is>
      </c>
      <c r="E185" t="inlineStr">
        <is>
          <t>豪华卡牌收藏 精选套装 Vol.6（简中）</t>
        </is>
      </c>
      <c r="F185" t="inlineStr">
        <is>
          <t>gift-123.png</t>
        </is>
      </c>
      <c r="G185" t="inlineStr">
        <is>
          <t>/products/onepiece-official/gift-123.png</t>
        </is>
      </c>
      <c r="H185" t="inlineStr"/>
      <c r="I185" t="inlineStr">
        <is>
          <t>DB status=上架</t>
        </is>
      </c>
    </row>
    <row r="186">
      <c r="A186" t="n">
        <v>98</v>
      </c>
      <c r="B186" t="inlineStr">
        <is>
          <t>航海王卡牌对战 豪华卡牌收藏 六种卡牌套装Vol.1（简中）</t>
        </is>
      </c>
      <c r="C186" t="inlineStr">
        <is>
          <t>航海王礼盒</t>
        </is>
      </c>
      <c r="D186" t="inlineStr">
        <is>
          <t>已备份</t>
        </is>
      </c>
      <c r="E186" t="inlineStr">
        <is>
          <t>航海王卡牌对战 豪华卡牌收藏 六种卡牌套装Vol.1（简中）</t>
        </is>
      </c>
      <c r="F186" t="inlineStr">
        <is>
          <t>gift-113.png</t>
        </is>
      </c>
      <c r="G186" t="inlineStr">
        <is>
          <t>/products/onepiece-official/gift-113.png</t>
        </is>
      </c>
      <c r="H186" t="inlineStr"/>
      <c r="I186" t="inlineStr">
        <is>
          <t>DB status=上架</t>
        </is>
      </c>
    </row>
    <row r="187">
      <c r="A187" t="n">
        <v>99</v>
      </c>
      <c r="B187" t="inlineStr">
        <is>
          <t>航海王卡牌对战 ONE PIECE Heroines Special Set（简中）</t>
        </is>
      </c>
      <c r="C187" t="inlineStr">
        <is>
          <t>航海王礼盒</t>
        </is>
      </c>
      <c r="D187" t="inlineStr">
        <is>
          <t>已备份</t>
        </is>
      </c>
      <c r="E187" t="inlineStr">
        <is>
          <t>航海王卡牌对战 ONE PIECE Heroines Special Set（简中）</t>
        </is>
      </c>
      <c r="F187" t="inlineStr">
        <is>
          <t>gift-106.png</t>
        </is>
      </c>
      <c r="G187" t="inlineStr">
        <is>
          <t>/products/onepiece-official/gift-106.png</t>
        </is>
      </c>
      <c r="H187" t="inlineStr"/>
      <c r="I187" t="inlineStr">
        <is>
          <t>DB status=上架</t>
        </is>
      </c>
    </row>
    <row r="188">
      <c r="A188" t="n">
        <v>100</v>
      </c>
      <c r="B188" t="inlineStr">
        <is>
          <t>豪华卡牌收藏 精选套装 Vol.5（简中）</t>
        </is>
      </c>
      <c r="C188" t="inlineStr">
        <is>
          <t>航海王礼盒</t>
        </is>
      </c>
      <c r="D188" t="inlineStr">
        <is>
          <t>已备份</t>
        </is>
      </c>
      <c r="E188" t="inlineStr">
        <is>
          <t>豪华卡牌收藏 精选套装 Vol.5（简中）</t>
        </is>
      </c>
      <c r="F188" t="inlineStr">
        <is>
          <t>gift-103.png</t>
        </is>
      </c>
      <c r="G188" t="inlineStr">
        <is>
          <t>/products/onepiece-official/gift-103.png</t>
        </is>
      </c>
      <c r="H188" t="inlineStr"/>
      <c r="I188" t="inlineStr">
        <is>
          <t>DB status=上架</t>
        </is>
      </c>
    </row>
    <row r="189">
      <c r="A189" t="n">
        <v>101</v>
      </c>
      <c r="B189" t="inlineStr">
        <is>
          <t>航海王卡牌对战 三周年纪念套装（简中）</t>
        </is>
      </c>
      <c r="C189" t="inlineStr">
        <is>
          <t>航海王礼盒</t>
        </is>
      </c>
      <c r="D189" t="inlineStr">
        <is>
          <t>已备份</t>
        </is>
      </c>
      <c r="E189" t="inlineStr">
        <is>
          <t>航海王卡牌对战 三周年纪念套装（简中）</t>
        </is>
      </c>
      <c r="F189" t="inlineStr">
        <is>
          <t>gift-94.png</t>
        </is>
      </c>
      <c r="G189" t="inlineStr">
        <is>
          <t>/products/onepiece-official/gift-94.png</t>
        </is>
      </c>
      <c r="H189" t="inlineStr"/>
      <c r="I189" t="inlineStr">
        <is>
          <t>DB status=上架</t>
        </is>
      </c>
    </row>
    <row r="190">
      <c r="A190" t="n">
        <v>102</v>
      </c>
      <c r="B190" t="inlineStr">
        <is>
          <t>豪华卡牌收藏 精选套装 Vol.4（简中）</t>
        </is>
      </c>
      <c r="C190" t="inlineStr">
        <is>
          <t>航海王礼盒</t>
        </is>
      </c>
      <c r="D190" t="inlineStr">
        <is>
          <t>已备份</t>
        </is>
      </c>
      <c r="E190" t="inlineStr">
        <is>
          <t>豪华卡牌收藏 精选套装 Vol.4（简中）</t>
        </is>
      </c>
      <c r="F190" t="inlineStr">
        <is>
          <t>gift-90.png</t>
        </is>
      </c>
      <c r="G190" t="inlineStr">
        <is>
          <t>/products/onepiece-official/gift-90.png</t>
        </is>
      </c>
      <c r="H190" t="inlineStr"/>
      <c r="I190" t="inlineStr">
        <is>
          <t>DB status=上架</t>
        </is>
      </c>
    </row>
    <row r="191">
      <c r="A191" t="n">
        <v>103</v>
      </c>
      <c r="B191" t="inlineStr">
        <is>
          <t>航海王卡牌对战 迷你收藏套装（简中）</t>
        </is>
      </c>
      <c r="C191" t="inlineStr">
        <is>
          <t>航海王礼盒</t>
        </is>
      </c>
      <c r="D191" t="inlineStr">
        <is>
          <t>已备份</t>
        </is>
      </c>
      <c r="E191" t="inlineStr">
        <is>
          <t>航海王卡牌对战 迷你收藏套装（简中）</t>
        </is>
      </c>
      <c r="F191" t="inlineStr">
        <is>
          <t>gift-85.png</t>
        </is>
      </c>
      <c r="G191" t="inlineStr">
        <is>
          <t>/products/onepiece-official/gift-85.png</t>
        </is>
      </c>
      <c r="H191" t="inlineStr"/>
      <c r="I191" t="inlineStr">
        <is>
          <t>DB status=上架</t>
        </is>
      </c>
    </row>
    <row r="192">
      <c r="A192" t="n">
        <v>104</v>
      </c>
      <c r="B192" t="inlineStr">
        <is>
          <t>豪华卡牌收藏 日版两周年特别纪念（简体中文版）（简中）</t>
        </is>
      </c>
      <c r="C192" t="inlineStr">
        <is>
          <t>航海王礼盒</t>
        </is>
      </c>
      <c r="D192" t="inlineStr">
        <is>
          <t>已备份</t>
        </is>
      </c>
      <c r="E192" t="inlineStr">
        <is>
          <t>豪华卡牌收藏 日版两周年特别纪念（简体中文版）（简中）</t>
        </is>
      </c>
      <c r="F192" t="inlineStr">
        <is>
          <t>gift-84.png</t>
        </is>
      </c>
      <c r="G192" t="inlineStr">
        <is>
          <t>/products/onepiece-official/gift-84.png</t>
        </is>
      </c>
      <c r="H192" t="inlineStr"/>
      <c r="I192" t="inlineStr">
        <is>
          <t>DB status=上架</t>
        </is>
      </c>
    </row>
    <row r="193">
      <c r="A193" t="n">
        <v>105</v>
      </c>
      <c r="B193" t="inlineStr">
        <is>
          <t>豪华卡牌收藏 精选套装 Vol.3（简中）</t>
        </is>
      </c>
      <c r="C193" t="inlineStr">
        <is>
          <t>航海王礼盒</t>
        </is>
      </c>
      <c r="D193" t="inlineStr">
        <is>
          <t>已备份</t>
        </is>
      </c>
      <c r="E193" t="inlineStr">
        <is>
          <t>豪华卡牌收藏 精选套装 Vol.3（简中）</t>
        </is>
      </c>
      <c r="F193" t="inlineStr">
        <is>
          <t>gift-67.png</t>
        </is>
      </c>
      <c r="G193" t="inlineStr">
        <is>
          <t>/products/onepiece-official/gift-67.png</t>
        </is>
      </c>
      <c r="H193" t="inlineStr"/>
      <c r="I193" t="inlineStr">
        <is>
          <t>DB status=上架</t>
        </is>
      </c>
    </row>
    <row r="194">
      <c r="A194" t="n">
        <v>106</v>
      </c>
      <c r="B194" t="inlineStr">
        <is>
          <t>豪华卡牌收藏 精选套装 Vol.2（简中）</t>
        </is>
      </c>
      <c r="C194" t="inlineStr">
        <is>
          <t>航海王礼盒</t>
        </is>
      </c>
      <c r="D194" t="inlineStr">
        <is>
          <t>已备份</t>
        </is>
      </c>
      <c r="E194" t="inlineStr">
        <is>
          <t>豪华卡牌收藏 精选套装 Vol.2（简中）</t>
        </is>
      </c>
      <c r="F194" t="inlineStr">
        <is>
          <t>gift-62.png</t>
        </is>
      </c>
      <c r="G194" t="inlineStr">
        <is>
          <t>/products/onepiece-official/gift-62.png</t>
        </is>
      </c>
      <c r="H194" t="inlineStr"/>
      <c r="I194" t="inlineStr">
        <is>
          <t>DB status=上架</t>
        </is>
      </c>
    </row>
    <row r="195">
      <c r="A195" t="n">
        <v>107</v>
      </c>
      <c r="B195" t="inlineStr">
        <is>
          <t>豪华卡牌收藏 精选套装 Vol.1（简中）</t>
        </is>
      </c>
      <c r="C195" t="inlineStr">
        <is>
          <t>航海王礼盒</t>
        </is>
      </c>
      <c r="D195" t="inlineStr">
        <is>
          <t>已备份</t>
        </is>
      </c>
      <c r="E195" t="inlineStr">
        <is>
          <t>豪华卡牌收藏 精选套装 Vol.1（简中）</t>
        </is>
      </c>
      <c r="F195" t="inlineStr">
        <is>
          <t>gift-49.png</t>
        </is>
      </c>
      <c r="G195" t="inlineStr">
        <is>
          <t>/products/onepiece-official/gift-49.png</t>
        </is>
      </c>
      <c r="H195" t="inlineStr"/>
      <c r="I195" t="inlineStr">
        <is>
          <t>DB status=上架</t>
        </is>
      </c>
    </row>
    <row r="196">
      <c r="A196" t="n">
        <v>108</v>
      </c>
      <c r="B196" t="inlineStr">
        <is>
          <t>航海王卡牌对战简体中文版 一周年纪念套装（简中）</t>
        </is>
      </c>
      <c r="C196" t="inlineStr">
        <is>
          <t>航海王礼盒</t>
        </is>
      </c>
      <c r="D196" t="inlineStr">
        <is>
          <t>已备份</t>
        </is>
      </c>
      <c r="E196" t="inlineStr">
        <is>
          <t>航海王卡牌对战简体中文版 一周年纪念套装（简中）</t>
        </is>
      </c>
      <c r="F196" t="inlineStr">
        <is>
          <t>gift-40.jpg</t>
        </is>
      </c>
      <c r="G196" t="inlineStr">
        <is>
          <t>/products/onepiece-official/gift-40.jpg</t>
        </is>
      </c>
      <c r="H196" t="inlineStr"/>
      <c r="I196" t="inlineStr">
        <is>
          <t>DB status=上架</t>
        </is>
      </c>
    </row>
    <row r="197">
      <c r="A197" t="n">
        <v>109</v>
      </c>
      <c r="B197" t="inlineStr">
        <is>
          <t>航海王卡牌对战 官方卡套&amp;官方卡盒 -红发歌姬-（简中）</t>
        </is>
      </c>
      <c r="C197" t="inlineStr">
        <is>
          <t>航海王礼盒</t>
        </is>
      </c>
      <c r="D197" t="inlineStr">
        <is>
          <t>已备份</t>
        </is>
      </c>
      <c r="E197" t="inlineStr">
        <is>
          <t>航海王卡牌对战 官方卡套&amp;官方卡盒 -红发歌姬-（简中）</t>
        </is>
      </c>
      <c r="F197" t="inlineStr">
        <is>
          <t>gift-38.png</t>
        </is>
      </c>
      <c r="G197" t="inlineStr">
        <is>
          <t>/products/onepiece-official/gift-38.png</t>
        </is>
      </c>
      <c r="H197" t="inlineStr"/>
      <c r="I197" t="inlineStr">
        <is>
          <t>DB status=上架</t>
        </is>
      </c>
    </row>
    <row r="198">
      <c r="A198" t="n">
        <v>110</v>
      </c>
      <c r="B198" t="inlineStr">
        <is>
          <t>航海王卡牌对战 对战桌垫+卡牌盒套装 -25周年版- （简中）</t>
        </is>
      </c>
      <c r="C198" t="inlineStr">
        <is>
          <t>航海王礼盒</t>
        </is>
      </c>
      <c r="D198" t="inlineStr">
        <is>
          <t>已备份</t>
        </is>
      </c>
      <c r="E198" t="inlineStr">
        <is>
          <t>航海王卡牌对战 对战桌垫+卡牌盒套装 -25周年版- （简中）</t>
        </is>
      </c>
      <c r="F198" t="inlineStr">
        <is>
          <t>gift-26.jpg</t>
        </is>
      </c>
      <c r="G198" t="inlineStr">
        <is>
          <t>/products/onepiece-official/gift-26.jpg</t>
        </is>
      </c>
      <c r="H198" t="inlineStr"/>
      <c r="I198" t="inlineStr">
        <is>
          <t>DB status=上架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topLeftCell="V1" workbookViewId="0">
      <selection activeCell="A1" sqref="A1"/>
    </sheetView>
  </sheetViews>
  <sheetFormatPr baseColWidth="8" defaultColWidth="9" defaultRowHeight="14"/>
  <sheetData>
    <row r="1">
      <c r="A1" t="inlineStr">
        <is>
          <t>日期</t>
        </is>
      </c>
      <c r="B1" t="inlineStr">
        <is>
          <t>SKU/Slug</t>
        </is>
      </c>
      <c r="C1" t="inlineStr">
        <is>
          <t>商品名</t>
        </is>
      </c>
      <c r="D1" t="inlineStr">
        <is>
          <t>操作类型</t>
        </is>
      </c>
      <c r="E1" t="inlineStr">
        <is>
          <t>数量</t>
        </is>
      </c>
      <c r="F1" t="inlineStr">
        <is>
          <t>单价(JPY)</t>
        </is>
      </c>
      <c r="G1" t="inlineStr">
        <is>
          <t>金额(JPY)</t>
        </is>
      </c>
      <c r="H1" t="inlineStr">
        <is>
          <t>平台/渠道</t>
        </is>
      </c>
      <c r="I1" t="inlineStr">
        <is>
          <t>订单/单号</t>
        </is>
      </c>
      <c r="J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2026-07-07T12:34:00Z</dcterms:created>
  <dcterms:modified xsi:type="dcterms:W3CDTF">2026-07-24T09:38:11Z</dcterms:modified>
  <cp:lastModifiedBy>沈　熙晨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7829E5A52E474025BF52D5D78A61BCA2_12</vt:lpwstr>
  </property>
  <property name="KSOProductBuildVer" fmtid="{D5CDD505-2E9C-101B-9397-08002B2CF9AE}" pid="3">
    <vt:lpwstr>2052-12.1.0.22175</vt:lpwstr>
  </property>
</Properties>
</file>